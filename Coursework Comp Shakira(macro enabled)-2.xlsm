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universityofwestminster-my.sharepoint.com/personal/w1906805_westminster_ac_uk/Documents/"/>
    </mc:Choice>
  </mc:AlternateContent>
  <xr:revisionPtr revIDLastSave="1" documentId="8_{4709F2C8-2130-FB4F-8C29-EB8A424B3A6A}" xr6:coauthVersionLast="47" xr6:coauthVersionMax="47" xr10:uidLastSave="{484C0E3B-A59C-C142-8337-1E9F8724DC3D}"/>
  <bookViews>
    <workbookView xWindow="0" yWindow="0" windowWidth="28800" windowHeight="18000" xr2:uid="{F7B4CC1B-CCE7-4B9D-BCAA-53F2EE4F7A7E}"/>
  </bookViews>
  <sheets>
    <sheet name="Sheet1" sheetId="1" r:id="rId1"/>
  </sheets>
  <definedNames>
    <definedName name="solver_adj" localSheetId="0" hidden="1">Sheet1!$S$34:$S$36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itr" localSheetId="0" hidden="1">2147483647</definedName>
    <definedName name="solver_lhs1" localSheetId="0" hidden="1">Sheet1!$S$34:$S$36</definedName>
    <definedName name="solver_lhs2" localSheetId="0" hidden="1">Sheet1!$S$37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opt" localSheetId="0" hidden="1">Sheet1!$S$40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2" localSheetId="0" hidden="1">2</definedName>
    <definedName name="solver_rhs1" localSheetId="0" hidden="1">0</definedName>
    <definedName name="solver_rhs2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87" i="1" l="1"/>
  <c r="J80" i="1"/>
  <c r="N71" i="1"/>
  <c r="R71" i="1" s="1"/>
  <c r="N72" i="1"/>
  <c r="R72" i="1" s="1"/>
  <c r="N73" i="1"/>
  <c r="R73" i="1" s="1"/>
  <c r="N74" i="1"/>
  <c r="R74" i="1" s="1"/>
  <c r="N70" i="1"/>
  <c r="R70" i="1" s="1"/>
  <c r="J26" i="1"/>
  <c r="K57" i="1"/>
  <c r="K62" i="1" s="1"/>
  <c r="K56" i="1"/>
  <c r="J61" i="1" s="1"/>
  <c r="N25" i="1"/>
  <c r="E41" i="1"/>
  <c r="F41" i="1"/>
  <c r="G41" i="1"/>
  <c r="E42" i="1"/>
  <c r="F42" i="1"/>
  <c r="G42" i="1"/>
  <c r="E43" i="1"/>
  <c r="F43" i="1"/>
  <c r="G43" i="1"/>
  <c r="J20" i="1"/>
  <c r="E44" i="1"/>
  <c r="F44" i="1"/>
  <c r="G44" i="1"/>
  <c r="J21" i="1"/>
  <c r="N26" i="1"/>
  <c r="J56" i="1" s="1"/>
  <c r="J69" i="1" s="1"/>
  <c r="E45" i="1"/>
  <c r="F45" i="1"/>
  <c r="G45" i="1"/>
  <c r="J22" i="1"/>
  <c r="N27" i="1"/>
  <c r="J57" i="1" s="1"/>
  <c r="J70" i="1" s="1"/>
  <c r="E46" i="1"/>
  <c r="F46" i="1"/>
  <c r="G46" i="1"/>
  <c r="E47" i="1"/>
  <c r="F47" i="1"/>
  <c r="G47" i="1"/>
  <c r="E48" i="1"/>
  <c r="F48" i="1"/>
  <c r="G48" i="1"/>
  <c r="E49" i="1"/>
  <c r="F49" i="1"/>
  <c r="G49" i="1"/>
  <c r="E50" i="1"/>
  <c r="F50" i="1"/>
  <c r="G50" i="1"/>
  <c r="J27" i="1"/>
  <c r="E51" i="1"/>
  <c r="F51" i="1"/>
  <c r="G51" i="1"/>
  <c r="S37" i="1"/>
  <c r="E52" i="1"/>
  <c r="F52" i="1"/>
  <c r="G52" i="1"/>
  <c r="E53" i="1"/>
  <c r="F53" i="1"/>
  <c r="G53" i="1"/>
  <c r="E54" i="1"/>
  <c r="F54" i="1"/>
  <c r="G54" i="1"/>
  <c r="E55" i="1"/>
  <c r="F55" i="1"/>
  <c r="G55" i="1"/>
  <c r="E56" i="1"/>
  <c r="F56" i="1"/>
  <c r="G56" i="1"/>
  <c r="S43" i="1"/>
  <c r="E57" i="1"/>
  <c r="F57" i="1"/>
  <c r="G57" i="1"/>
  <c r="E58" i="1"/>
  <c r="F58" i="1"/>
  <c r="G58" i="1"/>
  <c r="E59" i="1"/>
  <c r="F59" i="1"/>
  <c r="G59" i="1"/>
  <c r="E60" i="1"/>
  <c r="F60" i="1"/>
  <c r="G60" i="1"/>
  <c r="E61" i="1"/>
  <c r="F61" i="1"/>
  <c r="G61" i="1"/>
  <c r="E62" i="1"/>
  <c r="F62" i="1"/>
  <c r="G62" i="1"/>
  <c r="E63" i="1"/>
  <c r="F63" i="1"/>
  <c r="G63" i="1"/>
  <c r="E64" i="1"/>
  <c r="F64" i="1"/>
  <c r="G64" i="1"/>
  <c r="E65" i="1"/>
  <c r="F65" i="1"/>
  <c r="G65" i="1"/>
  <c r="E66" i="1"/>
  <c r="F66" i="1"/>
  <c r="G66" i="1"/>
  <c r="E67" i="1"/>
  <c r="F67" i="1"/>
  <c r="G67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3" i="1"/>
  <c r="J34" i="1" l="1"/>
  <c r="J45" i="1"/>
  <c r="J7" i="1" l="1"/>
  <c r="G129" i="1"/>
  <c r="F129" i="1"/>
  <c r="G128" i="1"/>
  <c r="F128" i="1"/>
  <c r="G127" i="1"/>
  <c r="F127" i="1"/>
  <c r="G126" i="1"/>
  <c r="F126" i="1"/>
  <c r="G125" i="1"/>
  <c r="F125" i="1"/>
  <c r="G124" i="1"/>
  <c r="F124" i="1"/>
  <c r="G123" i="1"/>
  <c r="F123" i="1"/>
  <c r="G122" i="1"/>
  <c r="F122" i="1"/>
  <c r="G121" i="1"/>
  <c r="F121" i="1"/>
  <c r="G120" i="1"/>
  <c r="F120" i="1"/>
  <c r="G119" i="1"/>
  <c r="F119" i="1"/>
  <c r="G118" i="1"/>
  <c r="F118" i="1"/>
  <c r="G117" i="1"/>
  <c r="F117" i="1"/>
  <c r="G116" i="1"/>
  <c r="F116" i="1"/>
  <c r="G115" i="1"/>
  <c r="F115" i="1"/>
  <c r="G114" i="1"/>
  <c r="F114" i="1"/>
  <c r="G113" i="1"/>
  <c r="F113" i="1"/>
  <c r="G112" i="1"/>
  <c r="F112" i="1"/>
  <c r="G111" i="1"/>
  <c r="F111" i="1"/>
  <c r="G110" i="1"/>
  <c r="F110" i="1"/>
  <c r="G109" i="1"/>
  <c r="F109" i="1"/>
  <c r="G108" i="1"/>
  <c r="F108" i="1"/>
  <c r="G107" i="1"/>
  <c r="F107" i="1"/>
  <c r="G106" i="1"/>
  <c r="F106" i="1"/>
  <c r="G105" i="1"/>
  <c r="F105" i="1"/>
  <c r="G104" i="1"/>
  <c r="F104" i="1"/>
  <c r="G103" i="1"/>
  <c r="F103" i="1"/>
  <c r="G102" i="1"/>
  <c r="F102" i="1"/>
  <c r="G101" i="1"/>
  <c r="F101" i="1"/>
  <c r="G100" i="1"/>
  <c r="F100" i="1"/>
  <c r="G99" i="1"/>
  <c r="F99" i="1"/>
  <c r="G98" i="1"/>
  <c r="F98" i="1"/>
  <c r="G97" i="1"/>
  <c r="F97" i="1"/>
  <c r="G96" i="1"/>
  <c r="F96" i="1"/>
  <c r="G95" i="1"/>
  <c r="F95" i="1"/>
  <c r="G94" i="1"/>
  <c r="F94" i="1"/>
  <c r="G93" i="1"/>
  <c r="F93" i="1"/>
  <c r="G92" i="1"/>
  <c r="F92" i="1"/>
  <c r="G91" i="1"/>
  <c r="F91" i="1"/>
  <c r="G90" i="1"/>
  <c r="F90" i="1"/>
  <c r="G89" i="1"/>
  <c r="F89" i="1"/>
  <c r="G88" i="1"/>
  <c r="F88" i="1"/>
  <c r="G87" i="1"/>
  <c r="F87" i="1"/>
  <c r="G86" i="1"/>
  <c r="F86" i="1"/>
  <c r="G85" i="1"/>
  <c r="F85" i="1"/>
  <c r="G84" i="1"/>
  <c r="F84" i="1"/>
  <c r="G83" i="1"/>
  <c r="F83" i="1"/>
  <c r="G82" i="1"/>
  <c r="F82" i="1"/>
  <c r="G81" i="1"/>
  <c r="F81" i="1"/>
  <c r="G80" i="1"/>
  <c r="F80" i="1"/>
  <c r="G79" i="1"/>
  <c r="F79" i="1"/>
  <c r="G78" i="1"/>
  <c r="F78" i="1"/>
  <c r="G77" i="1"/>
  <c r="F77" i="1"/>
  <c r="G76" i="1"/>
  <c r="F76" i="1"/>
  <c r="G75" i="1"/>
  <c r="F75" i="1"/>
  <c r="G74" i="1"/>
  <c r="F74" i="1"/>
  <c r="G73" i="1"/>
  <c r="F73" i="1"/>
  <c r="G72" i="1"/>
  <c r="F72" i="1"/>
  <c r="G71" i="1"/>
  <c r="F71" i="1"/>
  <c r="G70" i="1"/>
  <c r="F70" i="1"/>
  <c r="G69" i="1"/>
  <c r="F69" i="1"/>
  <c r="G68" i="1"/>
  <c r="F68" i="1"/>
  <c r="G40" i="1"/>
  <c r="F40" i="1"/>
  <c r="G39" i="1"/>
  <c r="F39" i="1"/>
  <c r="G38" i="1"/>
  <c r="F38" i="1"/>
  <c r="G37" i="1"/>
  <c r="F37" i="1"/>
  <c r="G36" i="1"/>
  <c r="F36" i="1"/>
  <c r="G35" i="1"/>
  <c r="F35" i="1"/>
  <c r="G34" i="1"/>
  <c r="F34" i="1"/>
  <c r="G33" i="1"/>
  <c r="F33" i="1"/>
  <c r="G32" i="1"/>
  <c r="F32" i="1"/>
  <c r="G31" i="1"/>
  <c r="F31" i="1"/>
  <c r="G30" i="1"/>
  <c r="F30" i="1"/>
  <c r="G29" i="1"/>
  <c r="F29" i="1"/>
  <c r="G28" i="1"/>
  <c r="F28" i="1"/>
  <c r="G27" i="1"/>
  <c r="F27" i="1"/>
  <c r="G26" i="1"/>
  <c r="F26" i="1"/>
  <c r="G25" i="1"/>
  <c r="F25" i="1"/>
  <c r="G24" i="1"/>
  <c r="F24" i="1"/>
  <c r="G23" i="1"/>
  <c r="F23" i="1"/>
  <c r="G22" i="1"/>
  <c r="F22" i="1"/>
  <c r="G21" i="1"/>
  <c r="F21" i="1"/>
  <c r="G20" i="1"/>
  <c r="F20" i="1"/>
  <c r="G19" i="1"/>
  <c r="F19" i="1"/>
  <c r="G18" i="1"/>
  <c r="F18" i="1"/>
  <c r="G17" i="1"/>
  <c r="F17" i="1"/>
  <c r="G16" i="1"/>
  <c r="F16" i="1"/>
  <c r="G15" i="1"/>
  <c r="F15" i="1"/>
  <c r="G14" i="1"/>
  <c r="F14" i="1"/>
  <c r="G13" i="1"/>
  <c r="F13" i="1"/>
  <c r="G12" i="1"/>
  <c r="F12" i="1"/>
  <c r="G11" i="1"/>
  <c r="F11" i="1"/>
  <c r="G10" i="1"/>
  <c r="F10" i="1"/>
  <c r="G9" i="1"/>
  <c r="F9" i="1"/>
  <c r="G8" i="1"/>
  <c r="F8" i="1"/>
  <c r="G7" i="1"/>
  <c r="F7" i="1"/>
  <c r="G6" i="1"/>
  <c r="F6" i="1"/>
  <c r="G5" i="1"/>
  <c r="F5" i="1"/>
  <c r="G4" i="1"/>
  <c r="F4" i="1"/>
  <c r="G3" i="1"/>
  <c r="F3" i="1"/>
  <c r="J40" i="1" l="1" a="1"/>
  <c r="J40" i="1" s="1"/>
  <c r="K46" i="1"/>
  <c r="L46" i="1"/>
  <c r="L56" i="1" s="1"/>
  <c r="K35" i="1"/>
  <c r="L35" i="1"/>
  <c r="J46" i="1"/>
  <c r="J35" i="1"/>
  <c r="K34" i="1"/>
  <c r="K45" i="1"/>
  <c r="L36" i="1"/>
  <c r="J36" i="1"/>
  <c r="K36" i="1"/>
  <c r="K47" i="1"/>
  <c r="L47" i="1"/>
  <c r="J47" i="1"/>
  <c r="L45" i="1"/>
  <c r="L34" i="1"/>
  <c r="J62" i="1" l="1"/>
  <c r="K61" i="1"/>
  <c r="S41" i="1"/>
  <c r="S44" i="1" s="1"/>
  <c r="S40" i="1" a="1"/>
  <c r="S40" i="1" s="1"/>
  <c r="J66" i="1" l="1" a="1"/>
  <c r="J66" i="1" s="1"/>
  <c r="J72" i="1" s="1"/>
  <c r="K72" i="1" s="1"/>
  <c r="M75" i="1" s="1"/>
  <c r="Q73" i="1"/>
  <c r="Q72" i="1"/>
  <c r="Q70" i="1"/>
  <c r="Q74" i="1"/>
  <c r="Q71" i="1"/>
  <c r="J73" i="1"/>
  <c r="N75" i="1" l="1"/>
  <c r="R75" i="1" s="1"/>
  <c r="K73" i="1"/>
  <c r="Q75" i="1" l="1"/>
  <c r="J75" i="1"/>
  <c r="J76" i="1"/>
  <c r="M61" i="1" l="1"/>
  <c r="N65" i="1"/>
  <c r="J86" i="1"/>
  <c r="J81" i="1"/>
  <c r="J82" i="1"/>
  <c r="J84" i="1"/>
  <c r="J85" i="1"/>
  <c r="O64" i="1" l="1"/>
  <c r="O6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<sst xmlns="http://schemas.openxmlformats.org/spreadsheetml/2006/main" count="179" uniqueCount="79">
  <si>
    <t>Date</t>
  </si>
  <si>
    <t>Nvidia Close</t>
  </si>
  <si>
    <t>Amazon Close</t>
  </si>
  <si>
    <t>Close CVX</t>
  </si>
  <si>
    <t>Log Ret N</t>
  </si>
  <si>
    <t>Log Ret A</t>
  </si>
  <si>
    <t>Log Ret CVX</t>
  </si>
  <si>
    <t>Mean</t>
  </si>
  <si>
    <t>Standard Deviation</t>
  </si>
  <si>
    <t>Minimum</t>
  </si>
  <si>
    <t>Maximum</t>
  </si>
  <si>
    <t>Skewness</t>
  </si>
  <si>
    <t>Kurtosis</t>
  </si>
  <si>
    <t>CAGR N</t>
  </si>
  <si>
    <t>Annualised Return N</t>
  </si>
  <si>
    <t>CAGR A</t>
  </si>
  <si>
    <t>Annualised Return A</t>
  </si>
  <si>
    <t>Annualised Vol N</t>
  </si>
  <si>
    <t>Annualised Vol A</t>
  </si>
  <si>
    <t xml:space="preserve">Covariance </t>
  </si>
  <si>
    <t>N</t>
  </si>
  <si>
    <t>A</t>
  </si>
  <si>
    <t xml:space="preserve">Inverse </t>
  </si>
  <si>
    <t xml:space="preserve">Correlation </t>
  </si>
  <si>
    <t>Standard Error</t>
  </si>
  <si>
    <t>Median</t>
  </si>
  <si>
    <t>Mode</t>
  </si>
  <si>
    <t>Sample Variance</t>
  </si>
  <si>
    <t>Range</t>
  </si>
  <si>
    <t>Sum</t>
  </si>
  <si>
    <t>Count</t>
  </si>
  <si>
    <t>VBA</t>
  </si>
  <si>
    <t>NVDA Close P</t>
  </si>
  <si>
    <t>NVDA LogR</t>
  </si>
  <si>
    <t>AMZ Close P</t>
  </si>
  <si>
    <t>AMZ Log R</t>
  </si>
  <si>
    <t>CVX Close P</t>
  </si>
  <si>
    <t>CVX Log R</t>
  </si>
  <si>
    <t>Reg Formula</t>
  </si>
  <si>
    <t>CVX</t>
  </si>
  <si>
    <t>Annualised CVX</t>
  </si>
  <si>
    <t>CAGR CVX</t>
  </si>
  <si>
    <t>Annualised Return CVX</t>
  </si>
  <si>
    <t>GMPV</t>
  </si>
  <si>
    <t>TOT</t>
  </si>
  <si>
    <t>Portfolio Return</t>
  </si>
  <si>
    <t>Portfolio Variance</t>
  </si>
  <si>
    <t>Risk free rate</t>
  </si>
  <si>
    <t>Expected Return</t>
  </si>
  <si>
    <t>Vol</t>
  </si>
  <si>
    <t>Question 6</t>
  </si>
  <si>
    <t>Correlation</t>
  </si>
  <si>
    <t>Inverse</t>
  </si>
  <si>
    <t>Excess Returns-A</t>
  </si>
  <si>
    <t>Excess Returns-CVX</t>
  </si>
  <si>
    <t>OPR Weights</t>
  </si>
  <si>
    <t>OPR Expected Returns</t>
  </si>
  <si>
    <t>OPR Expected Volatility</t>
  </si>
  <si>
    <t>Risk Free Rate</t>
  </si>
  <si>
    <t>Compute OCP</t>
  </si>
  <si>
    <t>OCP Returns</t>
  </si>
  <si>
    <t>OCP Volatility</t>
  </si>
  <si>
    <t>A Weight</t>
  </si>
  <si>
    <t>CVX Weight</t>
  </si>
  <si>
    <t xml:space="preserve">Sum of Weight </t>
  </si>
  <si>
    <t>Question 4</t>
  </si>
  <si>
    <t>Question 7</t>
  </si>
  <si>
    <t>Question 2</t>
  </si>
  <si>
    <t>Question 3</t>
  </si>
  <si>
    <t>Sharpe ratio</t>
  </si>
  <si>
    <t>CAL (Y)</t>
  </si>
  <si>
    <t>W1</t>
  </si>
  <si>
    <t>W2</t>
  </si>
  <si>
    <t>TANGENT &gt;&gt;&gt;&gt;</t>
  </si>
  <si>
    <t>Weights of Risk Assets</t>
  </si>
  <si>
    <t>Standard Deviation Portfolio (X)</t>
  </si>
  <si>
    <t>Return A</t>
  </si>
  <si>
    <t>Return CVX</t>
  </si>
  <si>
    <t>Portfolio Standard Deviation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</si>
</sst>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6" formatCode="0.0000%"/>
    <numFmt numFmtId="168" formatCode="0.00000000"/>
    <numFmt numFmtId="173" formatCode="0.0%"/>
  </numFmts>
  <fonts count="6" x14ac:knownFonts="1">
    <font>
      <sz val="11"/>
      <color theme="1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2"/>
      <color theme="1"/>
      <name val="Aptos Narrow"/>
      <scheme val="minor"/>
    </font>
    <font>
      <sz val="11"/>
      <color theme="1"/>
      <name val="Aptos Narrow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2" borderId="0" xfId="0" applyFill="1"/>
    <xf numFmtId="0" fontId="0" fillId="3" borderId="0" xfId="0" applyFill="1"/>
    <xf numFmtId="14" fontId="0" fillId="0" borderId="0" xfId="0" applyNumberFormat="1"/>
    <xf numFmtId="2" fontId="0" fillId="0" borderId="0" xfId="0" applyNumberFormat="1"/>
    <xf numFmtId="10" fontId="0" fillId="0" borderId="0" xfId="0" applyNumberFormat="1"/>
    <xf numFmtId="0" fontId="0" fillId="4" borderId="0" xfId="0" applyFill="1"/>
    <xf numFmtId="0" fontId="1" fillId="0" borderId="2" xfId="0" applyFont="1" applyBorder="1" applyAlignment="1">
      <alignment horizontal="centerContinuous"/>
    </xf>
    <xf numFmtId="0" fontId="0" fillId="0" borderId="3" xfId="0" applyBorder="1"/>
    <xf numFmtId="10" fontId="0" fillId="0" borderId="1" xfId="0" applyNumberFormat="1" applyBorder="1"/>
    <xf numFmtId="0" fontId="2" fillId="0" borderId="2" xfId="0" applyFont="1" applyBorder="1" applyAlignment="1">
      <alignment horizontal="centerContinuous"/>
    </xf>
    <xf numFmtId="0" fontId="2" fillId="0" borderId="0" xfId="0" applyFont="1" applyAlignment="1">
      <alignment horizontal="centerContinuous"/>
    </xf>
    <xf numFmtId="0" fontId="1" fillId="2" borderId="2" xfId="0" applyFont="1" applyFill="1" applyBorder="1" applyAlignment="1">
      <alignment horizontal="centerContinuous"/>
    </xf>
    <xf numFmtId="0" fontId="2" fillId="2" borderId="2" xfId="0" applyFont="1" applyFill="1" applyBorder="1" applyAlignment="1">
      <alignment horizontal="centerContinuous"/>
    </xf>
    <xf numFmtId="0" fontId="1" fillId="3" borderId="2" xfId="0" applyFont="1" applyFill="1" applyBorder="1" applyAlignment="1">
      <alignment horizontal="centerContinuous"/>
    </xf>
    <xf numFmtId="0" fontId="2" fillId="3" borderId="2" xfId="0" applyFont="1" applyFill="1" applyBorder="1" applyAlignment="1">
      <alignment horizontal="centerContinuous"/>
    </xf>
    <xf numFmtId="0" fontId="0" fillId="5" borderId="1" xfId="0" applyFill="1" applyBorder="1"/>
    <xf numFmtId="0" fontId="0" fillId="5" borderId="0" xfId="0" applyFill="1"/>
    <xf numFmtId="12" fontId="0" fillId="0" borderId="0" xfId="0" applyNumberFormat="1"/>
    <xf numFmtId="0" fontId="0" fillId="0" borderId="0" xfId="0" applyNumberFormat="1"/>
    <xf numFmtId="0" fontId="0" fillId="0" borderId="0" xfId="0" applyFill="1"/>
    <xf numFmtId="10" fontId="0" fillId="0" borderId="0" xfId="0" applyNumberFormat="1" applyFill="1"/>
    <xf numFmtId="166" fontId="0" fillId="0" borderId="0" xfId="0" applyNumberFormat="1"/>
    <xf numFmtId="168" fontId="0" fillId="0" borderId="0" xfId="0" applyNumberFormat="1"/>
    <xf numFmtId="0" fontId="0" fillId="6" borderId="0" xfId="0" applyFill="1"/>
    <xf numFmtId="0" fontId="0" fillId="0" borderId="0" xfId="0" applyBorder="1"/>
    <xf numFmtId="0" fontId="4" fillId="0" borderId="0" xfId="0" applyFont="1" applyAlignment="1">
      <alignment horizontal="right"/>
    </xf>
    <xf numFmtId="10" fontId="0" fillId="5" borderId="0" xfId="0" applyNumberFormat="1" applyFill="1"/>
    <xf numFmtId="12" fontId="0" fillId="0" borderId="0" xfId="0" applyNumberFormat="1" applyFill="1"/>
    <xf numFmtId="0" fontId="0" fillId="0" borderId="0" xfId="0" applyNumberFormat="1" applyFill="1"/>
    <xf numFmtId="168" fontId="0" fillId="0" borderId="0" xfId="0" applyNumberFormat="1" applyFill="1"/>
    <xf numFmtId="166" fontId="0" fillId="0" borderId="0" xfId="0" applyNumberFormat="1" applyFill="1"/>
    <xf numFmtId="0" fontId="3" fillId="4" borderId="0" xfId="0" applyFont="1" applyFill="1" applyAlignment="1">
      <alignment horizontal="left"/>
    </xf>
    <xf numFmtId="12" fontId="0" fillId="4" borderId="0" xfId="0" applyNumberFormat="1" applyFill="1"/>
    <xf numFmtId="9" fontId="0" fillId="0" borderId="0" xfId="0" applyNumberFormat="1"/>
    <xf numFmtId="173" fontId="0" fillId="0" borderId="0" xfId="0" applyNumberFormat="1"/>
    <xf numFmtId="0" fontId="0" fillId="0" borderId="0" xfId="0" applyAlignment="1">
      <alignment horizontal="right"/>
    </xf>
    <xf numFmtId="173" fontId="0" fillId="0" borderId="0" xfId="0" applyNumberFormat="1" applyAlignment="1">
      <alignment horizontal="right"/>
    </xf>
    <xf numFmtId="10" fontId="0" fillId="0" borderId="0" xfId="0" applyNumberFormat="1" applyAlignment="1">
      <alignment horizontal="right"/>
    </xf>
    <xf numFmtId="0" fontId="0" fillId="5" borderId="0" xfId="0" applyFill="1" applyAlignment="1">
      <alignment horizontal="right"/>
    </xf>
    <xf numFmtId="0" fontId="5" fillId="0" borderId="4" xfId="0" applyFont="1" applyBorder="1" applyAlignment="1">
      <alignment horizontal="right"/>
    </xf>
    <xf numFmtId="10" fontId="0" fillId="0" borderId="5" xfId="0" applyNumberFormat="1" applyBorder="1"/>
    <xf numFmtId="10" fontId="0" fillId="0" borderId="6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microsoft.com/office/2006/relationships/vbaProject" Target="vbaProject.bin"/><Relationship Id="rId5" Type="http://schemas.openxmlformats.org/officeDocument/2006/relationships/sheetMetadata" Target="metadata.xml"/><Relationship Id="rId10" Type="http://schemas.openxmlformats.org/officeDocument/2006/relationships/customXml" Target="../customXml/item3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ORP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noFill/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linear"/>
            <c:forward val="8.8700000000000029E-2"/>
            <c:dispRSqr val="0"/>
            <c:dispEq val="0"/>
          </c:trendline>
          <c:xVal>
            <c:numRef>
              <c:f>Sheet1!$N$64:$N$65</c:f>
              <c:numCache>
                <c:formatCode>0.00%</c:formatCode>
                <c:ptCount val="2"/>
                <c:pt idx="0">
                  <c:v>0</c:v>
                </c:pt>
                <c:pt idx="1">
                  <c:v>0.21129726186522982</c:v>
                </c:pt>
              </c:numCache>
            </c:numRef>
          </c:xVal>
          <c:yVal>
            <c:numRef>
              <c:f>Sheet1!$O$64:$O$65</c:f>
              <c:numCache>
                <c:formatCode>0.00%</c:formatCode>
                <c:ptCount val="2"/>
                <c:pt idx="0">
                  <c:v>4.2900000000000001E-2</c:v>
                </c:pt>
                <c:pt idx="1">
                  <c:v>0.31468125522916057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2C-48A4-99DE-B9280FC9B37C}"/>
            </c:ext>
          </c:extLst>
        </c:ser>
        <c:ser>
          <c:idx val="1"/>
          <c:order val="1"/>
          <c:tx>
            <c:v>Efficient Frontier</c:v>
          </c:tx>
          <c:spPr>
            <a:ln w="25400" cap="sq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 cap="flat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numRef>
              <c:f>Sheet1!$Q$70:$Q$74</c:f>
              <c:numCache>
                <c:formatCode>0.00%</c:formatCode>
                <c:ptCount val="5"/>
                <c:pt idx="0">
                  <c:v>0.2773256728974472</c:v>
                </c:pt>
                <c:pt idx="1">
                  <c:v>0.21799393471145762</c:v>
                </c:pt>
                <c:pt idx="2">
                  <c:v>0.17749987417353111</c:v>
                </c:pt>
                <c:pt idx="3">
                  <c:v>0.16989431458977755</c:v>
                </c:pt>
                <c:pt idx="4">
                  <c:v>0.19898485863481169</c:v>
                </c:pt>
              </c:numCache>
            </c:numRef>
          </c:xVal>
          <c:yVal>
            <c:numRef>
              <c:f>Sheet1!$R$70:$R$74</c:f>
              <c:numCache>
                <c:formatCode>0.00%</c:formatCode>
                <c:ptCount val="5"/>
                <c:pt idx="0">
                  <c:v>0.38681256305469452</c:v>
                </c:pt>
                <c:pt idx="1">
                  <c:v>0.32307809930747655</c:v>
                </c:pt>
                <c:pt idx="2">
                  <c:v>0.25934363556025858</c:v>
                </c:pt>
                <c:pt idx="3">
                  <c:v>0.19560917181304061</c:v>
                </c:pt>
                <c:pt idx="4">
                  <c:v>0.1318747080658226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42C-48A4-99DE-B9280FC9B37C}"/>
            </c:ext>
          </c:extLst>
        </c:ser>
        <c:ser>
          <c:idx val="2"/>
          <c:order val="2"/>
          <c:tx>
            <c:v>Tangency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222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1.23315397578066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480-024E-89F2-1712B59E81B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Sheet1!$Q$75</c:f>
              <c:numCache>
                <c:formatCode>0.00%</c:formatCode>
                <c:ptCount val="1"/>
                <c:pt idx="0">
                  <c:v>0.21129726186522982</c:v>
                </c:pt>
              </c:numCache>
            </c:numRef>
          </c:xVal>
          <c:yVal>
            <c:numRef>
              <c:f>Sheet1!$R$75</c:f>
              <c:numCache>
                <c:formatCode>0.00%</c:formatCode>
                <c:ptCount val="1"/>
                <c:pt idx="0">
                  <c:v>0.31468125522916057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42C-48A4-99DE-B9280FC9B37C}"/>
            </c:ext>
          </c:extLst>
        </c:ser>
        <c:ser>
          <c:idx val="3"/>
          <c:order val="3"/>
          <c:tx>
            <c:v>OCP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Sheet1!$J$82</c:f>
              <c:numCache>
                <c:formatCode>0.00%</c:formatCode>
                <c:ptCount val="1"/>
                <c:pt idx="0">
                  <c:v>0.21437512001654868</c:v>
                </c:pt>
              </c:numCache>
            </c:numRef>
          </c:xVal>
          <c:yVal>
            <c:numRef>
              <c:f>Sheet1!$J$81</c:f>
              <c:numCache>
                <c:formatCode>0.00%</c:formatCode>
                <c:ptCount val="1"/>
                <c:pt idx="0">
                  <c:v>0.31864015249265798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480-024E-89F2-1712B59E81B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007817535"/>
        <c:axId val="1007818015"/>
      </c:scatterChart>
      <c:valAx>
        <c:axId val="1007817535"/>
        <c:scaling>
          <c:orientation val="minMax"/>
          <c:max val="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Standard</a:t>
                </a:r>
                <a:r>
                  <a:rPr lang="en-GB" baseline="0"/>
                  <a:t> Deviation of Complete Portfolio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07818015"/>
        <c:crosses val="autoZero"/>
        <c:crossBetween val="midCat"/>
      </c:valAx>
      <c:valAx>
        <c:axId val="1007818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Return of</a:t>
                </a:r>
                <a:r>
                  <a:rPr lang="en-GB" baseline="0"/>
                  <a:t> Complete Portfolio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GB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078175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20406</xdr:colOff>
      <xdr:row>52</xdr:row>
      <xdr:rowOff>41150</xdr:rowOff>
    </xdr:from>
    <xdr:to>
      <xdr:col>33</xdr:col>
      <xdr:colOff>195791</xdr:colOff>
      <xdr:row>84</xdr:row>
      <xdr:rowOff>53161</xdr:rowOff>
    </xdr:to>
    <xdr:graphicFrame macro="">
      <xdr:nvGraphicFramePr>
        <xdr:cNvPr id="166" name="Chart 1">
          <a:extLst>
            <a:ext uri="{FF2B5EF4-FFF2-40B4-BE49-F238E27FC236}">
              <a16:creationId xmlns:a16="http://schemas.microsoft.com/office/drawing/2014/main" id="{0237C53B-3247-681F-A1A2-F00F5665AA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39F8C-11C9-41B9-B9F8-DF35A619147D}">
  <sheetPr codeName="Sheet1"/>
  <dimension ref="A1:AL130"/>
  <sheetViews>
    <sheetView tabSelected="1" topLeftCell="D1" zoomScale="65" zoomScaleNormal="69" workbookViewId="0">
      <selection activeCell="N35" sqref="N35"/>
    </sheetView>
  </sheetViews>
  <sheetFormatPr baseColWidth="10" defaultColWidth="8.83203125" defaultRowHeight="15" x14ac:dyDescent="0.2"/>
  <cols>
    <col min="1" max="1" width="10.33203125" bestFit="1" customWidth="1"/>
    <col min="2" max="2" width="13" bestFit="1" customWidth="1"/>
    <col min="3" max="3" width="14.5" bestFit="1" customWidth="1"/>
    <col min="4" max="6" width="12.5"/>
    <col min="7" max="7" width="12.6640625" bestFit="1" customWidth="1"/>
    <col min="8" max="8" width="12.5"/>
    <col min="9" max="9" width="23.33203125" customWidth="1"/>
    <col min="10" max="10" width="16.1640625" bestFit="1" customWidth="1"/>
    <col min="11" max="11" width="15.5" bestFit="1" customWidth="1"/>
    <col min="12" max="12" width="20.5" bestFit="1" customWidth="1"/>
    <col min="13" max="13" width="22.33203125" bestFit="1" customWidth="1"/>
    <col min="14" max="14" width="25.33203125" bestFit="1" customWidth="1"/>
    <col min="15" max="15" width="15" bestFit="1" customWidth="1"/>
    <col min="16" max="16" width="14.1640625" bestFit="1" customWidth="1"/>
    <col min="17" max="17" width="22.83203125" bestFit="1" customWidth="1"/>
    <col min="18" max="18" width="15" bestFit="1" customWidth="1"/>
    <col min="19" max="19" width="14" bestFit="1" customWidth="1"/>
    <col min="20" max="20" width="15.1640625" bestFit="1" customWidth="1"/>
    <col min="21" max="21" width="15" bestFit="1" customWidth="1"/>
    <col min="24" max="24" width="15" bestFit="1" customWidth="1"/>
  </cols>
  <sheetData>
    <row r="1" spans="1:38" x14ac:dyDescent="0.2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  <c r="F1" s="2" t="s">
        <v>5</v>
      </c>
      <c r="G1" s="2" t="s">
        <v>6</v>
      </c>
      <c r="I1" s="24" t="s">
        <v>67</v>
      </c>
      <c r="AF1" s="5"/>
      <c r="AH1" s="5"/>
      <c r="AI1" s="5"/>
      <c r="AL1" s="5"/>
    </row>
    <row r="2" spans="1:38" ht="16" thickBot="1" x14ac:dyDescent="0.25">
      <c r="A2" s="3">
        <v>45522</v>
      </c>
      <c r="B2">
        <v>130</v>
      </c>
      <c r="C2">
        <v>178.22</v>
      </c>
      <c r="D2" s="4">
        <v>146.83000000000001</v>
      </c>
      <c r="F2" s="4"/>
      <c r="H2" s="4"/>
    </row>
    <row r="3" spans="1:38" ht="16" x14ac:dyDescent="0.2">
      <c r="A3" s="3">
        <v>45523</v>
      </c>
      <c r="B3">
        <v>127.25</v>
      </c>
      <c r="C3">
        <v>178.88</v>
      </c>
      <c r="D3" s="4">
        <v>144.69</v>
      </c>
      <c r="E3" s="5">
        <f>LN(B3/B2)</f>
        <v>-2.1380795024950331E-2</v>
      </c>
      <c r="F3" s="5">
        <f>LN(C3/C2)</f>
        <v>3.6964477821605666E-3</v>
      </c>
      <c r="G3" s="5">
        <f>LN(D3/D2)</f>
        <v>-1.468193222585608E-2</v>
      </c>
      <c r="H3" s="4"/>
      <c r="I3" s="12" t="s">
        <v>32</v>
      </c>
      <c r="J3" s="7"/>
      <c r="L3" s="14" t="s">
        <v>33</v>
      </c>
      <c r="M3" s="7"/>
      <c r="O3" s="12" t="s">
        <v>34</v>
      </c>
      <c r="P3" s="7"/>
      <c r="R3" s="15" t="s">
        <v>35</v>
      </c>
      <c r="S3" s="10"/>
      <c r="U3" s="13" t="s">
        <v>36</v>
      </c>
      <c r="V3" s="10"/>
      <c r="X3" s="15" t="s">
        <v>37</v>
      </c>
      <c r="Y3" s="10"/>
    </row>
    <row r="4" spans="1:38" x14ac:dyDescent="0.2">
      <c r="A4" s="3">
        <v>45524</v>
      </c>
      <c r="B4">
        <v>128.5</v>
      </c>
      <c r="C4">
        <v>180.11</v>
      </c>
      <c r="D4" s="4">
        <v>145.32</v>
      </c>
      <c r="E4" s="5">
        <f t="shared" ref="E4:E67" si="0">LN(B4/B3)</f>
        <v>9.7752489046424654E-3</v>
      </c>
      <c r="F4" s="5">
        <f t="shared" ref="F4:G67" si="1">LN(C4/C3)</f>
        <v>6.8525853822318438E-3</v>
      </c>
      <c r="G4" s="5">
        <f t="shared" si="1"/>
        <v>4.3446846040108922E-3</v>
      </c>
      <c r="H4" s="4"/>
      <c r="I4" t="s">
        <v>7</v>
      </c>
      <c r="J4">
        <v>132.31679687499999</v>
      </c>
      <c r="L4" t="s">
        <v>7</v>
      </c>
      <c r="M4">
        <v>2.6385170874472784E-4</v>
      </c>
      <c r="O4" t="s">
        <v>7</v>
      </c>
      <c r="P4">
        <v>205.79476562499991</v>
      </c>
      <c r="R4" t="s">
        <v>7</v>
      </c>
      <c r="S4">
        <v>1.5349704883122798E-3</v>
      </c>
      <c r="U4" t="s">
        <v>7</v>
      </c>
      <c r="V4">
        <v>151.36906249999996</v>
      </c>
      <c r="X4" t="s">
        <v>7</v>
      </c>
      <c r="Y4">
        <v>5.2331233359453411E-4</v>
      </c>
      <c r="AF4" s="5"/>
      <c r="AH4" s="5"/>
    </row>
    <row r="5" spans="1:38" x14ac:dyDescent="0.2">
      <c r="A5" s="3">
        <v>45525</v>
      </c>
      <c r="B5">
        <v>123.74</v>
      </c>
      <c r="C5">
        <v>176.13</v>
      </c>
      <c r="D5" s="4">
        <v>145.72999999999999</v>
      </c>
      <c r="E5" s="5">
        <f t="shared" si="0"/>
        <v>-3.7746314232431778E-2</v>
      </c>
      <c r="F5" s="5">
        <f t="shared" si="1"/>
        <v>-2.2345416604761997E-2</v>
      </c>
      <c r="G5" s="5">
        <f t="shared" si="1"/>
        <v>2.8173871926041177E-3</v>
      </c>
      <c r="H5" s="4"/>
      <c r="I5" t="s">
        <v>24</v>
      </c>
      <c r="J5">
        <v>0.94845580656030271</v>
      </c>
      <c r="L5" t="s">
        <v>24</v>
      </c>
      <c r="M5">
        <v>2.9472008821129062E-3</v>
      </c>
      <c r="O5" t="s">
        <v>24</v>
      </c>
      <c r="P5">
        <v>1.8470852456200975</v>
      </c>
      <c r="R5" t="s">
        <v>24</v>
      </c>
      <c r="S5">
        <v>1.5502007567416579E-3</v>
      </c>
      <c r="U5" t="s">
        <v>24</v>
      </c>
      <c r="V5">
        <v>0.56153143248972837</v>
      </c>
      <c r="X5" t="s">
        <v>24</v>
      </c>
      <c r="Y5">
        <v>1.112289660070113E-3</v>
      </c>
      <c r="AF5" s="5"/>
      <c r="AH5" s="5"/>
    </row>
    <row r="6" spans="1:38" x14ac:dyDescent="0.2">
      <c r="A6" s="3">
        <v>45526</v>
      </c>
      <c r="B6">
        <v>129.37</v>
      </c>
      <c r="C6">
        <v>177.04</v>
      </c>
      <c r="D6" s="4">
        <v>147.62</v>
      </c>
      <c r="E6" s="5">
        <f t="shared" si="0"/>
        <v>4.449392582696797E-2</v>
      </c>
      <c r="F6" s="5">
        <f t="shared" si="1"/>
        <v>5.1533369985899604E-3</v>
      </c>
      <c r="G6" s="5">
        <f t="shared" si="1"/>
        <v>1.2885809796301089E-2</v>
      </c>
      <c r="H6" s="4"/>
      <c r="I6" t="s">
        <v>25</v>
      </c>
      <c r="J6">
        <v>134.80500000000001</v>
      </c>
      <c r="L6" t="s">
        <v>25</v>
      </c>
      <c r="M6">
        <v>3.3443705880842637E-3</v>
      </c>
      <c r="O6" t="s">
        <v>25</v>
      </c>
      <c r="P6">
        <v>206.29000000000002</v>
      </c>
      <c r="R6" t="s">
        <v>25</v>
      </c>
      <c r="S6">
        <v>6.2224989785008612E-4</v>
      </c>
      <c r="U6" t="s">
        <v>25</v>
      </c>
      <c r="V6">
        <v>150.89999999999998</v>
      </c>
      <c r="X6" t="s">
        <v>25</v>
      </c>
      <c r="Y6">
        <v>1.7276489766438624E-3</v>
      </c>
      <c r="AF6" s="5"/>
      <c r="AH6" s="5"/>
    </row>
    <row r="7" spans="1:38" x14ac:dyDescent="0.2">
      <c r="A7" s="3">
        <v>45529</v>
      </c>
      <c r="B7">
        <v>126.46</v>
      </c>
      <c r="C7">
        <v>175.5</v>
      </c>
      <c r="D7" s="4">
        <v>148.5</v>
      </c>
      <c r="E7" s="5">
        <f t="shared" si="0"/>
        <v>-2.2750463299343521E-2</v>
      </c>
      <c r="F7" s="5">
        <f t="shared" si="1"/>
        <v>-8.7366528368736374E-3</v>
      </c>
      <c r="G7" s="5">
        <f t="shared" si="1"/>
        <v>5.943553900847917E-3</v>
      </c>
      <c r="I7" t="s">
        <v>26</v>
      </c>
      <c r="J7">
        <f>+MODE(B2:B129)</f>
        <v>140.11000000000001</v>
      </c>
      <c r="L7" t="s">
        <v>26</v>
      </c>
      <c r="M7" t="e">
        <v>#N/A</v>
      </c>
      <c r="O7" t="s">
        <v>26</v>
      </c>
      <c r="P7">
        <v>235.42</v>
      </c>
      <c r="R7" t="s">
        <v>26</v>
      </c>
      <c r="S7" t="e">
        <v>#N/A</v>
      </c>
      <c r="U7" t="s">
        <v>26</v>
      </c>
      <c r="V7">
        <v>156.21</v>
      </c>
      <c r="X7" t="s">
        <v>26</v>
      </c>
      <c r="Y7" t="e">
        <v>#N/A</v>
      </c>
    </row>
    <row r="8" spans="1:38" x14ac:dyDescent="0.2">
      <c r="A8" s="3">
        <v>45530</v>
      </c>
      <c r="B8">
        <v>128.30000000000001</v>
      </c>
      <c r="C8">
        <v>173.12</v>
      </c>
      <c r="D8" s="4">
        <v>146.94999999999999</v>
      </c>
      <c r="E8" s="5">
        <f t="shared" si="0"/>
        <v>1.4445218991123788E-2</v>
      </c>
      <c r="F8" s="5">
        <f t="shared" si="1"/>
        <v>-1.3654047247803721E-2</v>
      </c>
      <c r="G8" s="5">
        <f t="shared" si="1"/>
        <v>-1.049256537782798E-2</v>
      </c>
      <c r="I8" t="s">
        <v>8</v>
      </c>
      <c r="J8">
        <v>10.730552519592743</v>
      </c>
      <c r="L8" t="s">
        <v>8</v>
      </c>
      <c r="M8">
        <v>3.308224785259329E-2</v>
      </c>
      <c r="O8" t="s">
        <v>8</v>
      </c>
      <c r="P8">
        <v>20.897384041721452</v>
      </c>
      <c r="R8" t="s">
        <v>8</v>
      </c>
      <c r="S8">
        <v>1.7469875301435494E-2</v>
      </c>
      <c r="U8" t="s">
        <v>8</v>
      </c>
      <c r="V8">
        <v>6.3530029402061272</v>
      </c>
      <c r="X8" t="s">
        <v>8</v>
      </c>
      <c r="Y8">
        <v>1.253486787178703E-2</v>
      </c>
    </row>
    <row r="9" spans="1:38" x14ac:dyDescent="0.2">
      <c r="A9" s="3">
        <v>45531</v>
      </c>
      <c r="B9">
        <v>125.61</v>
      </c>
      <c r="C9">
        <v>170.8</v>
      </c>
      <c r="D9" s="4">
        <v>146</v>
      </c>
      <c r="E9" s="5">
        <f t="shared" si="0"/>
        <v>-2.1189402922429205E-2</v>
      </c>
      <c r="F9" s="5">
        <f t="shared" si="1"/>
        <v>-1.3491714303647215E-2</v>
      </c>
      <c r="G9" s="5">
        <f t="shared" si="1"/>
        <v>-6.4857711565898613E-3</v>
      </c>
      <c r="I9" t="s">
        <v>27</v>
      </c>
      <c r="J9">
        <v>115.14475737573817</v>
      </c>
      <c r="L9" t="s">
        <v>27</v>
      </c>
      <c r="M9">
        <v>1.0944351229804133E-3</v>
      </c>
      <c r="O9" t="s">
        <v>27</v>
      </c>
      <c r="P9">
        <v>436.70065978719435</v>
      </c>
      <c r="R9" t="s">
        <v>27</v>
      </c>
      <c r="S9">
        <v>3.0519654304770585E-4</v>
      </c>
      <c r="U9" t="s">
        <v>27</v>
      </c>
      <c r="V9">
        <v>40.360646358267701</v>
      </c>
      <c r="X9" t="s">
        <v>27</v>
      </c>
      <c r="Y9">
        <v>1.5712291256315868E-4</v>
      </c>
    </row>
    <row r="10" spans="1:38" x14ac:dyDescent="0.2">
      <c r="A10" s="3">
        <v>45532</v>
      </c>
      <c r="B10">
        <v>117.59</v>
      </c>
      <c r="C10">
        <v>172.12</v>
      </c>
      <c r="D10" s="4">
        <v>147.41999999999999</v>
      </c>
      <c r="E10" s="5">
        <f t="shared" si="0"/>
        <v>-6.597787086383719E-2</v>
      </c>
      <c r="F10" s="5">
        <f t="shared" si="1"/>
        <v>7.6986266159294299E-3</v>
      </c>
      <c r="G10" s="5">
        <f t="shared" si="1"/>
        <v>9.6790340528061774E-3</v>
      </c>
      <c r="I10" t="s">
        <v>12</v>
      </c>
      <c r="J10">
        <v>-0.20499305366981257</v>
      </c>
      <c r="L10" t="s">
        <v>12</v>
      </c>
      <c r="M10">
        <v>7.339160472856193</v>
      </c>
      <c r="O10" t="s">
        <v>12</v>
      </c>
      <c r="P10">
        <v>-1.451940114308967</v>
      </c>
      <c r="R10" t="s">
        <v>12</v>
      </c>
      <c r="S10">
        <v>0.69949536216264763</v>
      </c>
      <c r="U10" t="s">
        <v>12</v>
      </c>
      <c r="V10">
        <v>-0.88031112849641202</v>
      </c>
      <c r="X10" t="s">
        <v>12</v>
      </c>
      <c r="Y10">
        <v>1.1341384991844361</v>
      </c>
    </row>
    <row r="11" spans="1:38" x14ac:dyDescent="0.2">
      <c r="A11" s="3">
        <v>45533</v>
      </c>
      <c r="B11">
        <v>119.37</v>
      </c>
      <c r="C11">
        <v>178.5</v>
      </c>
      <c r="D11" s="4">
        <v>147.94999999999999</v>
      </c>
      <c r="E11" s="5">
        <f t="shared" si="0"/>
        <v>1.5023915271622633E-2</v>
      </c>
      <c r="F11" s="5">
        <f t="shared" si="1"/>
        <v>3.639669324929494E-2</v>
      </c>
      <c r="G11" s="5">
        <f t="shared" si="1"/>
        <v>3.5887230850758468E-3</v>
      </c>
      <c r="I11" t="s">
        <v>11</v>
      </c>
      <c r="J11">
        <v>-0.67888464463405473</v>
      </c>
      <c r="L11" t="s">
        <v>11</v>
      </c>
      <c r="M11">
        <v>-1.4520562933492791</v>
      </c>
      <c r="O11" t="s">
        <v>11</v>
      </c>
      <c r="P11">
        <v>2.2755114588214193E-2</v>
      </c>
      <c r="R11" t="s">
        <v>11</v>
      </c>
      <c r="S11">
        <v>-9.6121633845675472E-2</v>
      </c>
      <c r="U11" t="s">
        <v>11</v>
      </c>
      <c r="V11">
        <v>-7.547611728457948E-2</v>
      </c>
      <c r="X11" t="s">
        <v>11</v>
      </c>
      <c r="Y11">
        <v>-0.62908260216500012</v>
      </c>
    </row>
    <row r="12" spans="1:38" x14ac:dyDescent="0.2">
      <c r="A12" s="3">
        <v>45537</v>
      </c>
      <c r="B12">
        <v>108</v>
      </c>
      <c r="C12">
        <v>176.25</v>
      </c>
      <c r="D12" s="4">
        <v>144.66</v>
      </c>
      <c r="E12" s="5">
        <f t="shared" si="0"/>
        <v>-0.10009668598272735</v>
      </c>
      <c r="F12" s="5">
        <f t="shared" si="1"/>
        <v>-1.2685159527315687E-2</v>
      </c>
      <c r="G12" s="5">
        <f t="shared" si="1"/>
        <v>-2.2488217425083962E-2</v>
      </c>
      <c r="I12" t="s">
        <v>28</v>
      </c>
      <c r="J12">
        <v>46.600000000000009</v>
      </c>
      <c r="L12" t="s">
        <v>28</v>
      </c>
      <c r="M12">
        <v>0.27144337836994226</v>
      </c>
      <c r="O12" t="s">
        <v>28</v>
      </c>
      <c r="P12">
        <v>71.259999999999991</v>
      </c>
      <c r="R12" t="s">
        <v>28</v>
      </c>
      <c r="S12">
        <v>0.10709698729390447</v>
      </c>
      <c r="U12" t="s">
        <v>28</v>
      </c>
      <c r="V12">
        <v>24.650000000000006</v>
      </c>
      <c r="X12" t="s">
        <v>28</v>
      </c>
      <c r="Y12">
        <v>7.4842338034216471E-2</v>
      </c>
    </row>
    <row r="13" spans="1:38" x14ac:dyDescent="0.2">
      <c r="A13" s="3">
        <v>45538</v>
      </c>
      <c r="B13">
        <v>106.21</v>
      </c>
      <c r="C13">
        <v>173.33</v>
      </c>
      <c r="D13" s="4">
        <v>142.07</v>
      </c>
      <c r="E13" s="5">
        <f t="shared" si="0"/>
        <v>-1.6712960790771555E-2</v>
      </c>
      <c r="F13" s="5">
        <f t="shared" si="1"/>
        <v>-1.670614973915904E-2</v>
      </c>
      <c r="G13" s="5">
        <f t="shared" si="1"/>
        <v>-1.8066267537149003E-2</v>
      </c>
      <c r="I13" t="s">
        <v>9</v>
      </c>
      <c r="J13">
        <v>102.83</v>
      </c>
      <c r="K13" s="5"/>
      <c r="L13" t="s">
        <v>9</v>
      </c>
      <c r="M13">
        <v>-0.18594612349652748</v>
      </c>
      <c r="O13" t="s">
        <v>9</v>
      </c>
      <c r="P13">
        <v>170.8</v>
      </c>
      <c r="R13" t="s">
        <v>9</v>
      </c>
      <c r="S13">
        <v>-4.7078456712751592E-2</v>
      </c>
      <c r="U13" t="s">
        <v>9</v>
      </c>
      <c r="V13">
        <v>137.88</v>
      </c>
      <c r="X13" t="s">
        <v>9</v>
      </c>
      <c r="Y13">
        <v>-4.668452689971575E-2</v>
      </c>
    </row>
    <row r="14" spans="1:38" x14ac:dyDescent="0.2">
      <c r="A14" s="3">
        <v>45539</v>
      </c>
      <c r="B14">
        <v>107.21</v>
      </c>
      <c r="C14">
        <v>177.89</v>
      </c>
      <c r="D14" s="4">
        <v>140.93</v>
      </c>
      <c r="E14" s="5">
        <f t="shared" si="0"/>
        <v>9.371261534700203E-3</v>
      </c>
      <c r="F14" s="5">
        <f t="shared" si="1"/>
        <v>2.5968089783959206E-2</v>
      </c>
      <c r="G14" s="5">
        <f t="shared" si="1"/>
        <v>-8.0565806805659394E-3</v>
      </c>
      <c r="I14" t="s">
        <v>10</v>
      </c>
      <c r="J14">
        <v>149.43</v>
      </c>
      <c r="K14" s="5"/>
      <c r="L14" t="s">
        <v>10</v>
      </c>
      <c r="M14">
        <v>8.5497254873414752E-2</v>
      </c>
      <c r="O14" t="s">
        <v>10</v>
      </c>
      <c r="P14">
        <v>242.06</v>
      </c>
      <c r="R14" t="s">
        <v>10</v>
      </c>
      <c r="S14">
        <v>6.0018530581152883E-2</v>
      </c>
      <c r="U14" t="s">
        <v>10</v>
      </c>
      <c r="V14">
        <v>162.53</v>
      </c>
      <c r="X14" t="s">
        <v>10</v>
      </c>
      <c r="Y14">
        <v>2.8157811134500724E-2</v>
      </c>
    </row>
    <row r="15" spans="1:38" x14ac:dyDescent="0.2">
      <c r="A15" s="3">
        <v>45540</v>
      </c>
      <c r="B15">
        <v>102.83</v>
      </c>
      <c r="C15">
        <v>171.39</v>
      </c>
      <c r="D15" s="4">
        <v>138.56</v>
      </c>
      <c r="E15" s="5">
        <f t="shared" si="0"/>
        <v>-4.1712388627049075E-2</v>
      </c>
      <c r="F15" s="5">
        <f t="shared" si="1"/>
        <v>-3.7223720332697573E-2</v>
      </c>
      <c r="G15" s="5">
        <f t="shared" si="1"/>
        <v>-1.6959868389294652E-2</v>
      </c>
      <c r="I15" t="s">
        <v>29</v>
      </c>
      <c r="J15">
        <v>16936.55</v>
      </c>
      <c r="K15" s="5"/>
      <c r="L15" t="s">
        <v>29</v>
      </c>
      <c r="M15">
        <v>3.3509167010580439E-2</v>
      </c>
      <c r="O15" t="s">
        <v>29</v>
      </c>
      <c r="P15">
        <v>26341.729999999989</v>
      </c>
      <c r="R15" t="s">
        <v>29</v>
      </c>
      <c r="S15">
        <v>0.19494125201565954</v>
      </c>
      <c r="U15" t="s">
        <v>29</v>
      </c>
      <c r="V15">
        <v>19375.239999999994</v>
      </c>
      <c r="X15" t="s">
        <v>29</v>
      </c>
      <c r="Y15">
        <v>6.6460666366505827E-2</v>
      </c>
    </row>
    <row r="16" spans="1:38" ht="16" thickBot="1" x14ac:dyDescent="0.25">
      <c r="A16" s="3">
        <v>45543</v>
      </c>
      <c r="B16">
        <v>106.47</v>
      </c>
      <c r="C16">
        <v>175.4</v>
      </c>
      <c r="D16" s="4">
        <v>140.30000000000001</v>
      </c>
      <c r="E16" s="5">
        <f t="shared" si="0"/>
        <v>3.4786116085415604E-2</v>
      </c>
      <c r="F16" s="5">
        <f t="shared" si="1"/>
        <v>2.3127418533601885E-2</v>
      </c>
      <c r="G16" s="5">
        <f t="shared" si="1"/>
        <v>1.2479542294290226E-2</v>
      </c>
      <c r="I16" s="8" t="s">
        <v>30</v>
      </c>
      <c r="J16" s="8">
        <v>128</v>
      </c>
      <c r="L16" s="8" t="s">
        <v>30</v>
      </c>
      <c r="M16" s="8">
        <v>127</v>
      </c>
      <c r="O16" s="8" t="s">
        <v>30</v>
      </c>
      <c r="P16" s="8">
        <v>128</v>
      </c>
      <c r="R16" s="8" t="s">
        <v>30</v>
      </c>
      <c r="S16" s="8">
        <v>127</v>
      </c>
      <c r="U16" s="8" t="s">
        <v>30</v>
      </c>
      <c r="V16" s="8">
        <v>128</v>
      </c>
      <c r="X16" s="8" t="s">
        <v>30</v>
      </c>
      <c r="Y16" s="8">
        <v>127</v>
      </c>
    </row>
    <row r="17" spans="1:28" x14ac:dyDescent="0.2">
      <c r="A17" s="3">
        <v>45544</v>
      </c>
      <c r="B17">
        <v>108.1</v>
      </c>
      <c r="C17">
        <v>179.55</v>
      </c>
      <c r="D17" s="4">
        <v>138.22999999999999</v>
      </c>
      <c r="E17" s="5">
        <f t="shared" si="0"/>
        <v>1.5193469318647681E-2</v>
      </c>
      <c r="F17" s="5">
        <f t="shared" si="1"/>
        <v>2.3384640734009244E-2</v>
      </c>
      <c r="G17" s="5">
        <f t="shared" si="1"/>
        <v>-1.4864022632149506E-2</v>
      </c>
      <c r="I17" s="25"/>
      <c r="J17" s="25"/>
      <c r="L17" s="25"/>
      <c r="M17" s="25"/>
      <c r="O17" s="25"/>
      <c r="P17" s="25"/>
      <c r="R17" s="25"/>
      <c r="S17" s="25"/>
      <c r="U17" s="25"/>
      <c r="V17" s="25"/>
      <c r="X17" s="25"/>
      <c r="Y17" s="25"/>
    </row>
    <row r="18" spans="1:28" x14ac:dyDescent="0.2">
      <c r="A18" s="3">
        <v>45545</v>
      </c>
      <c r="B18">
        <v>116.91</v>
      </c>
      <c r="C18">
        <v>184.52</v>
      </c>
      <c r="D18" s="4">
        <v>137.88</v>
      </c>
      <c r="E18" s="5">
        <f t="shared" si="0"/>
        <v>7.8347683373565069E-2</v>
      </c>
      <c r="F18" s="5">
        <f t="shared" si="1"/>
        <v>2.7304138017527915E-2</v>
      </c>
      <c r="G18" s="5">
        <f t="shared" si="1"/>
        <v>-2.5352228276012034E-3</v>
      </c>
      <c r="M18" s="25"/>
      <c r="AA18" s="11"/>
      <c r="AB18" s="11"/>
    </row>
    <row r="19" spans="1:28" x14ac:dyDescent="0.2">
      <c r="A19" s="3">
        <v>45546</v>
      </c>
      <c r="B19">
        <v>119.14</v>
      </c>
      <c r="C19">
        <v>187</v>
      </c>
      <c r="D19" s="4">
        <v>139.21</v>
      </c>
      <c r="E19" s="5">
        <f t="shared" si="0"/>
        <v>1.8894864181813922E-2</v>
      </c>
      <c r="F19" s="5">
        <f t="shared" si="1"/>
        <v>1.3350758164966741E-2</v>
      </c>
      <c r="G19" s="5">
        <f t="shared" si="1"/>
        <v>9.5998427518112807E-3</v>
      </c>
      <c r="J19" s="24" t="s">
        <v>38</v>
      </c>
      <c r="K19" s="24" t="s">
        <v>31</v>
      </c>
      <c r="M19" s="25"/>
    </row>
    <row r="20" spans="1:28" x14ac:dyDescent="0.2">
      <c r="A20" s="3">
        <v>45547</v>
      </c>
      <c r="B20">
        <v>119.1</v>
      </c>
      <c r="C20">
        <v>186.49</v>
      </c>
      <c r="D20" s="4">
        <v>140.61000000000001</v>
      </c>
      <c r="E20" s="5">
        <f t="shared" si="0"/>
        <v>-3.3579583928697982E-4</v>
      </c>
      <c r="F20" s="5">
        <f t="shared" si="1"/>
        <v>-2.7309985112316283E-3</v>
      </c>
      <c r="G20" s="5">
        <f t="shared" si="1"/>
        <v>1.0006516202248704E-2</v>
      </c>
      <c r="I20" s="16" t="s">
        <v>13</v>
      </c>
      <c r="J20" s="9">
        <f>+(B129/B2)^(252/127)-1</f>
        <v>6.8750950477028061E-2</v>
      </c>
      <c r="K20" s="5">
        <v>6.8750950477028283E-2</v>
      </c>
      <c r="L20" s="5"/>
    </row>
    <row r="21" spans="1:28" x14ac:dyDescent="0.2">
      <c r="A21" s="3">
        <v>45550</v>
      </c>
      <c r="B21">
        <v>116.78</v>
      </c>
      <c r="C21">
        <v>184.89</v>
      </c>
      <c r="D21" s="4">
        <v>142.09</v>
      </c>
      <c r="E21" s="5">
        <f t="shared" si="0"/>
        <v>-1.9671653505862762E-2</v>
      </c>
      <c r="F21" s="5">
        <f t="shared" si="1"/>
        <v>-8.6165647010935618E-3</v>
      </c>
      <c r="G21" s="5">
        <f t="shared" si="1"/>
        <v>1.0470559047259418E-2</v>
      </c>
      <c r="I21" s="16" t="s">
        <v>15</v>
      </c>
      <c r="J21" s="9">
        <f>+(C129/C2)^(252/127)-1</f>
        <v>0.4722805056483812</v>
      </c>
      <c r="K21" s="5">
        <v>0.4722805056483812</v>
      </c>
      <c r="L21" s="5"/>
    </row>
    <row r="22" spans="1:28" x14ac:dyDescent="0.2">
      <c r="A22" s="3">
        <v>45551</v>
      </c>
      <c r="B22">
        <v>115.59</v>
      </c>
      <c r="C22">
        <v>186.88</v>
      </c>
      <c r="D22" s="4">
        <v>143.41</v>
      </c>
      <c r="E22" s="5">
        <f t="shared" si="0"/>
        <v>-1.0242375549215622E-2</v>
      </c>
      <c r="F22" s="5">
        <f t="shared" si="1"/>
        <v>1.070564599760079E-2</v>
      </c>
      <c r="G22" s="5">
        <f t="shared" si="1"/>
        <v>9.2470010911368684E-3</v>
      </c>
      <c r="I22" s="16" t="s">
        <v>41</v>
      </c>
      <c r="J22" s="9">
        <f>+(D129/D2)^(252/127)-1</f>
        <v>0.14096535655503195</v>
      </c>
      <c r="K22" s="5">
        <v>0.14096535655503195</v>
      </c>
      <c r="L22" s="5"/>
    </row>
    <row r="23" spans="1:28" x14ac:dyDescent="0.2">
      <c r="A23" s="3">
        <v>45552</v>
      </c>
      <c r="B23">
        <v>113.37</v>
      </c>
      <c r="C23">
        <v>186.43</v>
      </c>
      <c r="D23" s="4">
        <v>143.96</v>
      </c>
      <c r="E23" s="5">
        <f t="shared" si="0"/>
        <v>-1.9392641276668576E-2</v>
      </c>
      <c r="F23" s="5">
        <f t="shared" si="1"/>
        <v>-2.410866132492018E-3</v>
      </c>
      <c r="G23" s="5">
        <f t="shared" si="1"/>
        <v>3.8278224697090757E-3</v>
      </c>
    </row>
    <row r="24" spans="1:28" x14ac:dyDescent="0.2">
      <c r="A24" s="3">
        <v>45553</v>
      </c>
      <c r="B24">
        <v>117.87</v>
      </c>
      <c r="C24">
        <v>189.87</v>
      </c>
      <c r="D24" s="4">
        <v>144.99</v>
      </c>
      <c r="E24" s="5">
        <f t="shared" si="0"/>
        <v>3.8925516208970862E-2</v>
      </c>
      <c r="F24" s="5">
        <f t="shared" si="1"/>
        <v>1.8283793947953479E-2</v>
      </c>
      <c r="G24" s="5">
        <f t="shared" si="1"/>
        <v>7.1292913142723775E-3</v>
      </c>
      <c r="J24" s="24" t="s">
        <v>38</v>
      </c>
      <c r="K24" s="24" t="s">
        <v>31</v>
      </c>
    </row>
    <row r="25" spans="1:28" x14ac:dyDescent="0.2">
      <c r="A25" s="3">
        <v>45554</v>
      </c>
      <c r="B25">
        <v>116</v>
      </c>
      <c r="C25">
        <v>191.6</v>
      </c>
      <c r="D25" s="4">
        <v>145.68</v>
      </c>
      <c r="E25" s="5">
        <f t="shared" si="0"/>
        <v>-1.5992131132113445E-2</v>
      </c>
      <c r="F25" s="5">
        <f t="shared" si="1"/>
        <v>9.070238081436522E-3</v>
      </c>
      <c r="G25" s="5">
        <f t="shared" si="1"/>
        <v>4.7476608942500966E-3</v>
      </c>
      <c r="I25" s="17" t="s">
        <v>17</v>
      </c>
      <c r="J25" s="5">
        <v>0.5251644037737746</v>
      </c>
      <c r="K25" s="5">
        <v>0.5251644037737746</v>
      </c>
      <c r="M25" s="17" t="s">
        <v>14</v>
      </c>
      <c r="N25" s="5">
        <f>M4*252</f>
        <v>6.6490630603671413E-2</v>
      </c>
      <c r="U25" s="11"/>
      <c r="V25" s="11"/>
    </row>
    <row r="26" spans="1:28" x14ac:dyDescent="0.2">
      <c r="A26" s="3">
        <v>45557</v>
      </c>
      <c r="B26">
        <v>116.26</v>
      </c>
      <c r="C26">
        <v>193.88</v>
      </c>
      <c r="D26" s="4">
        <v>147.54</v>
      </c>
      <c r="E26" s="5">
        <f t="shared" si="0"/>
        <v>2.2388711668398825E-3</v>
      </c>
      <c r="F26" s="5">
        <f t="shared" si="1"/>
        <v>1.1829545440414976E-2</v>
      </c>
      <c r="G26" s="5">
        <f t="shared" si="1"/>
        <v>1.2686890036803525E-2</v>
      </c>
      <c r="I26" s="17" t="s">
        <v>18</v>
      </c>
      <c r="J26" s="5">
        <f>S8*SQRT(252)</f>
        <v>0.2773256728974472</v>
      </c>
      <c r="K26" s="5">
        <v>0.2773256728974472</v>
      </c>
      <c r="M26" s="17" t="s">
        <v>16</v>
      </c>
      <c r="N26" s="5">
        <f>S4*252</f>
        <v>0.38681256305469452</v>
      </c>
      <c r="T26" s="18"/>
    </row>
    <row r="27" spans="1:28" x14ac:dyDescent="0.2">
      <c r="A27" s="3">
        <v>45558</v>
      </c>
      <c r="B27">
        <v>120.87</v>
      </c>
      <c r="C27">
        <v>193.96</v>
      </c>
      <c r="D27" s="4">
        <v>147.44999999999999</v>
      </c>
      <c r="E27" s="5">
        <f t="shared" si="0"/>
        <v>3.8886525598161081E-2</v>
      </c>
      <c r="F27" s="5">
        <f t="shared" si="1"/>
        <v>4.1254125997637956E-4</v>
      </c>
      <c r="G27" s="5">
        <f t="shared" si="1"/>
        <v>-6.1019019487092944E-4</v>
      </c>
      <c r="I27" s="17" t="s">
        <v>40</v>
      </c>
      <c r="J27" s="5">
        <f>Y8*SQRT(252)</f>
        <v>0.19898485863481169</v>
      </c>
      <c r="K27" s="5">
        <v>0.19898485863481169</v>
      </c>
      <c r="M27" s="17" t="s">
        <v>42</v>
      </c>
      <c r="N27" s="5">
        <f>Y4*252</f>
        <v>0.1318747080658226</v>
      </c>
    </row>
    <row r="28" spans="1:28" x14ac:dyDescent="0.2">
      <c r="A28" s="3">
        <v>45559</v>
      </c>
      <c r="B28">
        <v>123.51</v>
      </c>
      <c r="C28">
        <v>192.53</v>
      </c>
      <c r="D28" s="4">
        <v>143.97</v>
      </c>
      <c r="E28" s="5">
        <f t="shared" si="0"/>
        <v>2.1606536578557402E-2</v>
      </c>
      <c r="F28" s="5">
        <f t="shared" si="1"/>
        <v>-7.3999664959074384E-3</v>
      </c>
      <c r="G28" s="5">
        <f t="shared" si="1"/>
        <v>-2.3884190723021313E-2</v>
      </c>
    </row>
    <row r="29" spans="1:28" x14ac:dyDescent="0.2">
      <c r="A29" s="3">
        <v>45560</v>
      </c>
      <c r="B29">
        <v>124.04</v>
      </c>
      <c r="C29">
        <v>191.16</v>
      </c>
      <c r="D29" s="4">
        <v>141.99</v>
      </c>
      <c r="E29" s="5">
        <f t="shared" si="0"/>
        <v>4.2819697823250902E-3</v>
      </c>
      <c r="F29" s="5">
        <f t="shared" si="1"/>
        <v>-7.141212031286758E-3</v>
      </c>
      <c r="G29" s="5">
        <f t="shared" si="1"/>
        <v>-1.3848311951997417E-2</v>
      </c>
    </row>
    <row r="30" spans="1:28" x14ac:dyDescent="0.2">
      <c r="A30" s="3">
        <v>45561</v>
      </c>
      <c r="B30">
        <v>121.4</v>
      </c>
      <c r="C30">
        <v>187.97</v>
      </c>
      <c r="D30" s="4">
        <v>145.49</v>
      </c>
      <c r="E30" s="5">
        <f t="shared" si="0"/>
        <v>-2.1513215606850308E-2</v>
      </c>
      <c r="F30" s="5">
        <f t="shared" si="1"/>
        <v>-1.6828398081453401E-2</v>
      </c>
      <c r="G30" s="5">
        <f t="shared" si="1"/>
        <v>2.4350723141031014E-2</v>
      </c>
      <c r="I30" s="24" t="s">
        <v>68</v>
      </c>
      <c r="N30" s="20"/>
      <c r="O30" s="20"/>
      <c r="R30" s="24" t="s">
        <v>65</v>
      </c>
      <c r="T30" s="5"/>
    </row>
    <row r="31" spans="1:28" x14ac:dyDescent="0.2">
      <c r="A31" s="3">
        <v>45564</v>
      </c>
      <c r="B31">
        <v>121.44</v>
      </c>
      <c r="C31">
        <v>186.33</v>
      </c>
      <c r="D31" s="4">
        <v>147.27000000000001</v>
      </c>
      <c r="E31" s="5">
        <f t="shared" si="0"/>
        <v>3.2943502192181391E-4</v>
      </c>
      <c r="F31" s="5">
        <f t="shared" si="1"/>
        <v>-8.7630803891826266E-3</v>
      </c>
      <c r="G31" s="5">
        <f t="shared" si="1"/>
        <v>1.2160281010773577E-2</v>
      </c>
      <c r="N31" s="20"/>
      <c r="O31" s="20"/>
    </row>
    <row r="32" spans="1:28" x14ac:dyDescent="0.2">
      <c r="A32" s="3">
        <v>45565</v>
      </c>
      <c r="B32">
        <v>117</v>
      </c>
      <c r="C32">
        <v>185.13</v>
      </c>
      <c r="D32" s="4">
        <v>149.69999999999999</v>
      </c>
      <c r="E32" s="5">
        <f t="shared" si="0"/>
        <v>-3.7246378849563687E-2</v>
      </c>
      <c r="F32" s="5">
        <f t="shared" si="1"/>
        <v>-6.4610142382361662E-3</v>
      </c>
      <c r="G32" s="5">
        <f t="shared" si="1"/>
        <v>1.636565468751161E-2</v>
      </c>
      <c r="N32" s="20"/>
      <c r="O32" s="20"/>
      <c r="R32" s="17" t="s">
        <v>43</v>
      </c>
    </row>
    <row r="33" spans="1:24" x14ac:dyDescent="0.2">
      <c r="A33" s="3">
        <v>45566</v>
      </c>
      <c r="B33">
        <v>118.85</v>
      </c>
      <c r="C33">
        <v>184.76</v>
      </c>
      <c r="D33" s="4">
        <v>150.94999999999999</v>
      </c>
      <c r="E33" s="5">
        <f t="shared" si="0"/>
        <v>1.5688259008446757E-2</v>
      </c>
      <c r="F33" s="5">
        <f t="shared" si="1"/>
        <v>-2.0005954386805615E-3</v>
      </c>
      <c r="G33" s="5">
        <f t="shared" si="1"/>
        <v>8.3153647272651635E-3</v>
      </c>
      <c r="I33" s="17" t="s">
        <v>19</v>
      </c>
      <c r="J33" s="6" t="s">
        <v>20</v>
      </c>
      <c r="K33" s="6" t="s">
        <v>21</v>
      </c>
      <c r="L33" s="6" t="s">
        <v>39</v>
      </c>
      <c r="N33" s="20"/>
      <c r="O33" s="20"/>
    </row>
    <row r="34" spans="1:24" x14ac:dyDescent="0.2">
      <c r="A34" s="3">
        <v>45567</v>
      </c>
      <c r="B34">
        <v>122.85</v>
      </c>
      <c r="C34">
        <v>181.96</v>
      </c>
      <c r="D34" s="4">
        <v>151.25</v>
      </c>
      <c r="E34" s="5">
        <f t="shared" si="0"/>
        <v>3.3101905160985295E-2</v>
      </c>
      <c r="F34" s="5">
        <f t="shared" si="1"/>
        <v>-1.5270802860601217E-2</v>
      </c>
      <c r="G34" s="5">
        <f t="shared" si="1"/>
        <v>1.9854407581031785E-3</v>
      </c>
      <c r="I34" s="6" t="s">
        <v>20</v>
      </c>
      <c r="J34">
        <f>_xlfn.COVARIANCE.P(E3:E129,E3:E129)</f>
        <v>1.0944351229804133E-3</v>
      </c>
      <c r="K34">
        <f>_xlfn.COVARIANCE.P(E3:E129,F3:F129)</f>
        <v>2.1316416061745015E-4</v>
      </c>
      <c r="L34">
        <f>_xlfn.COVARIANCE.P(E3:E129,G3:G129)</f>
        <v>2.8608112931703802E-5</v>
      </c>
      <c r="N34" s="20"/>
      <c r="O34" s="21"/>
      <c r="R34" s="6" t="s">
        <v>20</v>
      </c>
      <c r="S34" s="5">
        <v>2.3780395723583193E-2</v>
      </c>
      <c r="W34" s="11"/>
      <c r="X34" s="11"/>
    </row>
    <row r="35" spans="1:24" x14ac:dyDescent="0.2">
      <c r="A35" s="3">
        <v>45568</v>
      </c>
      <c r="B35">
        <v>124.92</v>
      </c>
      <c r="C35">
        <v>186.51</v>
      </c>
      <c r="D35" s="4">
        <v>150.74</v>
      </c>
      <c r="E35" s="5">
        <f t="shared" si="0"/>
        <v>1.6709433447689864E-2</v>
      </c>
      <c r="F35" s="5">
        <f t="shared" si="1"/>
        <v>2.4697974247552355E-2</v>
      </c>
      <c r="G35" s="5">
        <f t="shared" si="1"/>
        <v>-3.3775984956269591E-3</v>
      </c>
      <c r="I35" s="6" t="s">
        <v>21</v>
      </c>
      <c r="J35">
        <f>_xlfn.COVARIANCE.P(F3:F129,E3:E129)</f>
        <v>2.1316416061745015E-4</v>
      </c>
      <c r="K35">
        <f>_xlfn.COVARIANCE.P(F3:F129,F3:F129)</f>
        <v>3.0279342066150361E-4</v>
      </c>
      <c r="L35">
        <f>_xlfn.COVARIANCE.P(F3:F129,G3:G129)</f>
        <v>1.8740784473503237E-5</v>
      </c>
      <c r="N35" s="28"/>
      <c r="O35" s="21"/>
      <c r="R35" s="33" t="s">
        <v>21</v>
      </c>
      <c r="S35" s="5">
        <v>0.30744420440608144</v>
      </c>
    </row>
    <row r="36" spans="1:24" x14ac:dyDescent="0.2">
      <c r="A36" s="3">
        <v>45571</v>
      </c>
      <c r="B36">
        <v>127.72</v>
      </c>
      <c r="C36">
        <v>180.8</v>
      </c>
      <c r="D36" s="4">
        <v>151.12</v>
      </c>
      <c r="E36" s="5">
        <f t="shared" si="0"/>
        <v>2.216683543170344E-2</v>
      </c>
      <c r="F36" s="5">
        <f t="shared" si="1"/>
        <v>-3.1093408991279631E-2</v>
      </c>
      <c r="G36" s="5">
        <f t="shared" si="1"/>
        <v>2.5177247779303324E-3</v>
      </c>
      <c r="I36" s="1" t="s">
        <v>39</v>
      </c>
      <c r="J36">
        <f>_xlfn.COVARIANCE.P(G3:G129,E3:E129)</f>
        <v>2.8608112931703802E-5</v>
      </c>
      <c r="K36">
        <f>_xlfn.COVARIANCE.P(G3:G129,F3:F129)</f>
        <v>1.8740784473503237E-5</v>
      </c>
      <c r="L36">
        <f>_xlfn.COVARIANCE.P(G3:G129,G3:G129)</f>
        <v>1.5588572427525975E-4</v>
      </c>
      <c r="N36" s="20"/>
      <c r="O36" s="21"/>
      <c r="R36" s="6" t="s">
        <v>39</v>
      </c>
      <c r="S36" s="5">
        <v>0.66877539987033519</v>
      </c>
    </row>
    <row r="37" spans="1:24" x14ac:dyDescent="0.2">
      <c r="A37" s="3">
        <v>45572</v>
      </c>
      <c r="B37">
        <v>132.88999999999999</v>
      </c>
      <c r="C37">
        <v>182.72</v>
      </c>
      <c r="D37" s="4">
        <v>148.75</v>
      </c>
      <c r="E37" s="5">
        <f t="shared" si="0"/>
        <v>3.9681350496835091E-2</v>
      </c>
      <c r="F37" s="5">
        <f t="shared" si="1"/>
        <v>1.0563478509569246E-2</v>
      </c>
      <c r="G37" s="5">
        <f t="shared" si="1"/>
        <v>-1.5807178767515043E-2</v>
      </c>
      <c r="N37" s="20"/>
      <c r="O37" s="28"/>
      <c r="R37" s="17" t="s">
        <v>44</v>
      </c>
      <c r="S37" s="18">
        <f>SUM(S34:S36)</f>
        <v>0.99999999999999978</v>
      </c>
    </row>
    <row r="38" spans="1:24" x14ac:dyDescent="0.2">
      <c r="A38" s="3">
        <v>45573</v>
      </c>
      <c r="B38">
        <v>132.65</v>
      </c>
      <c r="C38">
        <v>185.17</v>
      </c>
      <c r="D38" s="4">
        <v>149.65</v>
      </c>
      <c r="E38" s="5">
        <f t="shared" si="0"/>
        <v>-1.8076377596675597E-3</v>
      </c>
      <c r="F38" s="5">
        <f t="shared" si="1"/>
        <v>1.3319395582079016E-2</v>
      </c>
      <c r="G38" s="5">
        <f t="shared" si="1"/>
        <v>6.0321898729689093E-3</v>
      </c>
      <c r="N38" s="20"/>
      <c r="O38" s="20"/>
    </row>
    <row r="39" spans="1:24" x14ac:dyDescent="0.2">
      <c r="A39" s="3">
        <v>45574</v>
      </c>
      <c r="B39">
        <v>134.81</v>
      </c>
      <c r="C39">
        <v>186.65</v>
      </c>
      <c r="D39" s="4">
        <v>150.62</v>
      </c>
      <c r="E39" s="5">
        <f t="shared" si="0"/>
        <v>1.6152299119223994E-2</v>
      </c>
      <c r="F39" s="5">
        <f t="shared" si="1"/>
        <v>7.9608833108684232E-3</v>
      </c>
      <c r="G39" s="5">
        <f t="shared" si="1"/>
        <v>6.4608743744976535E-3</v>
      </c>
      <c r="I39" s="17" t="s">
        <v>22</v>
      </c>
      <c r="J39" s="6" t="s">
        <v>20</v>
      </c>
      <c r="K39" s="6" t="s">
        <v>21</v>
      </c>
      <c r="L39" s="6" t="s">
        <v>39</v>
      </c>
      <c r="N39" s="20"/>
      <c r="O39" s="20"/>
    </row>
    <row r="40" spans="1:24" x14ac:dyDescent="0.2">
      <c r="A40" s="3">
        <v>45575</v>
      </c>
      <c r="B40">
        <v>134.80000000000001</v>
      </c>
      <c r="C40">
        <v>188.82</v>
      </c>
      <c r="D40" s="4">
        <v>151.41999999999999</v>
      </c>
      <c r="E40" s="5">
        <f t="shared" si="0"/>
        <v>-7.4181224765981015E-5</v>
      </c>
      <c r="F40" s="5">
        <f t="shared" si="1"/>
        <v>1.1558974943777681E-2</v>
      </c>
      <c r="G40" s="5">
        <f t="shared" si="1"/>
        <v>5.2973240019548312E-3</v>
      </c>
      <c r="I40" s="6" t="s">
        <v>20</v>
      </c>
      <c r="J40" cm="1">
        <f t="array" ref="J40:L42">MINVERSE(E35:G37)</f>
        <v>33.37054993410144</v>
      </c>
      <c r="K40">
        <v>25.462089001720514</v>
      </c>
      <c r="L40">
        <v>-3.0749185286658967</v>
      </c>
      <c r="N40" s="20"/>
      <c r="O40" s="29"/>
      <c r="R40" s="17" t="s">
        <v>46</v>
      </c>
      <c r="S40" s="19" cm="1">
        <f t="array" ref="S40">MMULT(TRANSPOSE(S34:S36), MMULT(J34:L36, S34:S36))</f>
        <v>1.106945923552619E-4</v>
      </c>
    </row>
    <row r="41" spans="1:24" x14ac:dyDescent="0.2">
      <c r="A41" s="3">
        <v>45578</v>
      </c>
      <c r="B41">
        <v>138.07</v>
      </c>
      <c r="C41">
        <v>187.54</v>
      </c>
      <c r="D41" s="4">
        <v>151.78</v>
      </c>
      <c r="E41" s="5">
        <f t="shared" si="0"/>
        <v>2.3968604449854193E-2</v>
      </c>
      <c r="F41" s="5">
        <f t="shared" si="1"/>
        <v>-6.8020243128913537E-3</v>
      </c>
      <c r="G41" s="5">
        <f t="shared" si="1"/>
        <v>2.3746713006062353E-3</v>
      </c>
      <c r="I41" s="6" t="s">
        <v>21</v>
      </c>
      <c r="J41">
        <v>32.322475324329453</v>
      </c>
      <c r="K41">
        <v>-9.3386182876292239</v>
      </c>
      <c r="L41">
        <v>-8.3939339610347563</v>
      </c>
      <c r="N41" s="20"/>
      <c r="O41" s="30"/>
      <c r="R41" s="17" t="s">
        <v>46</v>
      </c>
      <c r="S41" s="23">
        <f>S34^2*J34+S35^2*K35+S36^2*L36+2*S34*S35*K34+2*S34*S36*L34+2*S35*S36*L35</f>
        <v>1.106945923552619E-4</v>
      </c>
    </row>
    <row r="42" spans="1:24" x14ac:dyDescent="0.2">
      <c r="A42" s="3">
        <v>45579</v>
      </c>
      <c r="B42">
        <v>131.6</v>
      </c>
      <c r="C42">
        <v>187.69</v>
      </c>
      <c r="D42" s="4">
        <v>147.72999999999999</v>
      </c>
      <c r="E42" s="5">
        <f t="shared" si="0"/>
        <v>-4.799378403684413E-2</v>
      </c>
      <c r="F42" s="5">
        <f t="shared" si="1"/>
        <v>7.9950967667933388E-4</v>
      </c>
      <c r="G42" s="5">
        <f t="shared" si="1"/>
        <v>-2.7045820642250078E-2</v>
      </c>
      <c r="I42" s="6" t="s">
        <v>39</v>
      </c>
      <c r="J42">
        <v>105.37150785533227</v>
      </c>
      <c r="K42">
        <v>57.677704407449205</v>
      </c>
      <c r="L42">
        <v>-76.590900798907285</v>
      </c>
      <c r="N42" s="20"/>
      <c r="O42" s="31"/>
      <c r="R42" s="17"/>
      <c r="S42" s="23"/>
    </row>
    <row r="43" spans="1:24" x14ac:dyDescent="0.2">
      <c r="A43" s="3">
        <v>45580</v>
      </c>
      <c r="B43">
        <v>135.72</v>
      </c>
      <c r="C43">
        <v>186.89</v>
      </c>
      <c r="D43" s="4">
        <v>148.72999999999999</v>
      </c>
      <c r="E43" s="5">
        <f t="shared" si="0"/>
        <v>3.0826921024812545E-2</v>
      </c>
      <c r="F43" s="5">
        <f t="shared" si="1"/>
        <v>-4.2714571859473289E-3</v>
      </c>
      <c r="G43" s="5">
        <f t="shared" si="1"/>
        <v>6.7462982709898056E-3</v>
      </c>
      <c r="N43" s="20"/>
      <c r="O43" s="31"/>
      <c r="R43" s="17" t="s">
        <v>48</v>
      </c>
      <c r="S43" s="22">
        <f>S34*M4+S35*S4+S36*Y4</f>
        <v>8.2817069376903921E-4</v>
      </c>
    </row>
    <row r="44" spans="1:24" x14ac:dyDescent="0.2">
      <c r="A44" s="3">
        <v>45581</v>
      </c>
      <c r="B44">
        <v>136.93</v>
      </c>
      <c r="C44">
        <v>187.53</v>
      </c>
      <c r="D44" s="4">
        <v>151.19999999999999</v>
      </c>
      <c r="E44" s="5">
        <f t="shared" si="0"/>
        <v>8.8759064281130479E-3</v>
      </c>
      <c r="F44" s="5">
        <f t="shared" si="1"/>
        <v>3.4186241296195259E-3</v>
      </c>
      <c r="G44" s="5">
        <f t="shared" si="1"/>
        <v>1.6470882140925982E-2</v>
      </c>
      <c r="I44" s="17" t="s">
        <v>23</v>
      </c>
      <c r="J44" s="6" t="s">
        <v>20</v>
      </c>
      <c r="K44" s="6" t="s">
        <v>21</v>
      </c>
      <c r="L44" s="6" t="s">
        <v>39</v>
      </c>
      <c r="N44" s="20"/>
      <c r="O44" s="20"/>
      <c r="R44" s="17" t="s">
        <v>49</v>
      </c>
      <c r="S44" s="22">
        <f>SQRT(S41)</f>
        <v>1.052114976394034E-2</v>
      </c>
    </row>
    <row r="45" spans="1:24" x14ac:dyDescent="0.2">
      <c r="A45" s="3">
        <v>45582</v>
      </c>
      <c r="B45">
        <v>138</v>
      </c>
      <c r="C45">
        <v>188.99</v>
      </c>
      <c r="D45" s="4">
        <v>150.75</v>
      </c>
      <c r="E45" s="5">
        <f t="shared" si="0"/>
        <v>7.7838388130624554E-3</v>
      </c>
      <c r="F45" s="5">
        <f t="shared" si="1"/>
        <v>7.7552709951155497E-3</v>
      </c>
      <c r="G45" s="5">
        <f t="shared" si="1"/>
        <v>-2.9806281381376779E-3</v>
      </c>
      <c r="I45" s="6" t="s">
        <v>20</v>
      </c>
      <c r="J45">
        <f>CORREL(E3:E129,E3:E129)</f>
        <v>1</v>
      </c>
      <c r="K45">
        <f>CORREL(E3:E129,F3:F129)</f>
        <v>0.37029339046159165</v>
      </c>
      <c r="L45">
        <f>CORREL(E3:E129,G3:G129)</f>
        <v>6.9261362054912026E-2</v>
      </c>
      <c r="N45" s="20"/>
      <c r="O45" s="21"/>
      <c r="R45" s="20"/>
    </row>
    <row r="46" spans="1:24" x14ac:dyDescent="0.2">
      <c r="A46" s="3">
        <v>45585</v>
      </c>
      <c r="B46">
        <v>143.71</v>
      </c>
      <c r="C46">
        <v>189.07</v>
      </c>
      <c r="D46" s="4">
        <v>150.88</v>
      </c>
      <c r="E46" s="5">
        <f t="shared" si="0"/>
        <v>4.0543694928950949E-2</v>
      </c>
      <c r="F46" s="5">
        <f t="shared" si="1"/>
        <v>4.2321325289130293E-4</v>
      </c>
      <c r="G46" s="5">
        <f t="shared" si="1"/>
        <v>8.6198327785244361E-4</v>
      </c>
      <c r="I46" s="6" t="s">
        <v>21</v>
      </c>
      <c r="J46">
        <f>CORREL(F3:F129,E3:E129)</f>
        <v>0.37029339046159165</v>
      </c>
      <c r="K46">
        <f>CORREL(F3:F129,F3:F129)</f>
        <v>1</v>
      </c>
      <c r="L46">
        <f>CORREL(F3:F129,G3:G129)</f>
        <v>8.6260381878412312E-2</v>
      </c>
      <c r="R46" s="17" t="s">
        <v>47</v>
      </c>
      <c r="S46" s="5">
        <v>4.2900000000000001E-2</v>
      </c>
    </row>
    <row r="47" spans="1:24" x14ac:dyDescent="0.2">
      <c r="A47" s="3">
        <v>45586</v>
      </c>
      <c r="B47">
        <v>143.59</v>
      </c>
      <c r="C47">
        <v>189.7</v>
      </c>
      <c r="D47" s="4">
        <v>150.91999999999999</v>
      </c>
      <c r="E47" s="5">
        <f t="shared" si="0"/>
        <v>-8.3536377987001502E-4</v>
      </c>
      <c r="F47" s="5">
        <f t="shared" si="1"/>
        <v>3.326560081130928E-3</v>
      </c>
      <c r="G47" s="5">
        <f t="shared" si="1"/>
        <v>2.6507621096224962E-4</v>
      </c>
      <c r="I47" s="6" t="s">
        <v>39</v>
      </c>
      <c r="J47">
        <f>CORREL(G3:G129,E3:E129)</f>
        <v>6.9261362054912026E-2</v>
      </c>
      <c r="K47">
        <f>CORREL(G3:G129,F3:F129)</f>
        <v>8.6260381878412312E-2</v>
      </c>
      <c r="L47">
        <f>CORREL(G3:G129,G3:G129)</f>
        <v>1</v>
      </c>
    </row>
    <row r="48" spans="1:24" x14ac:dyDescent="0.2">
      <c r="A48" s="3">
        <v>45587</v>
      </c>
      <c r="B48">
        <v>139.56</v>
      </c>
      <c r="C48">
        <v>184.71</v>
      </c>
      <c r="D48" s="4">
        <v>150.47999999999999</v>
      </c>
      <c r="E48" s="5">
        <f t="shared" si="0"/>
        <v>-2.8467399987712163E-2</v>
      </c>
      <c r="F48" s="5">
        <f t="shared" si="1"/>
        <v>-2.6656849349740011E-2</v>
      </c>
      <c r="G48" s="5">
        <f t="shared" si="1"/>
        <v>-2.9197101033347503E-3</v>
      </c>
    </row>
    <row r="49" spans="1:17" x14ac:dyDescent="0.2">
      <c r="A49" s="3">
        <v>45588</v>
      </c>
      <c r="B49">
        <v>140.41</v>
      </c>
      <c r="C49">
        <v>186.38</v>
      </c>
      <c r="D49" s="4">
        <v>150.44999999999999</v>
      </c>
      <c r="E49" s="5">
        <f t="shared" si="0"/>
        <v>6.0720978079774222E-3</v>
      </c>
      <c r="F49" s="5">
        <f t="shared" si="1"/>
        <v>9.0005727662809711E-3</v>
      </c>
      <c r="G49" s="5">
        <f t="shared" si="1"/>
        <v>-1.9938191672072393E-4</v>
      </c>
    </row>
    <row r="50" spans="1:17" x14ac:dyDescent="0.2">
      <c r="A50" s="3">
        <v>45589</v>
      </c>
      <c r="B50">
        <v>141.54</v>
      </c>
      <c r="C50">
        <v>187.83</v>
      </c>
      <c r="D50" s="4">
        <v>150.81</v>
      </c>
      <c r="E50" s="5">
        <f t="shared" si="0"/>
        <v>8.0156485210877634E-3</v>
      </c>
      <c r="F50" s="5">
        <f t="shared" si="1"/>
        <v>7.7496980678194395E-3</v>
      </c>
      <c r="G50" s="5">
        <f t="shared" si="1"/>
        <v>2.3899632965394043E-3</v>
      </c>
    </row>
    <row r="51" spans="1:17" x14ac:dyDescent="0.2">
      <c r="A51" s="3">
        <v>45593</v>
      </c>
      <c r="B51">
        <v>140.52000000000001</v>
      </c>
      <c r="C51">
        <v>188.39</v>
      </c>
      <c r="D51" s="4">
        <v>150.54</v>
      </c>
      <c r="E51" s="5">
        <f t="shared" si="0"/>
        <v>-7.2325352500122939E-3</v>
      </c>
      <c r="F51" s="5">
        <f t="shared" si="1"/>
        <v>2.9769837519540302E-3</v>
      </c>
      <c r="G51" s="5">
        <f t="shared" si="1"/>
        <v>-1.7919367662076694E-3</v>
      </c>
    </row>
    <row r="52" spans="1:17" x14ac:dyDescent="0.2">
      <c r="A52" s="3">
        <v>45594</v>
      </c>
      <c r="B52">
        <v>141.25</v>
      </c>
      <c r="C52">
        <v>190.83</v>
      </c>
      <c r="D52" s="4">
        <v>148.52000000000001</v>
      </c>
      <c r="E52" s="5">
        <f t="shared" si="0"/>
        <v>5.1815426289240412E-3</v>
      </c>
      <c r="F52" s="5">
        <f t="shared" si="1"/>
        <v>1.2868697181539787E-2</v>
      </c>
      <c r="G52" s="5">
        <f t="shared" si="1"/>
        <v>-1.350920029750651E-2</v>
      </c>
      <c r="I52" s="20"/>
      <c r="J52" s="21"/>
    </row>
    <row r="53" spans="1:17" x14ac:dyDescent="0.2">
      <c r="A53" s="3">
        <v>45595</v>
      </c>
      <c r="B53">
        <v>139.34</v>
      </c>
      <c r="C53">
        <v>192.73</v>
      </c>
      <c r="D53" s="4">
        <v>148.05000000000001</v>
      </c>
      <c r="E53" s="5">
        <f t="shared" si="0"/>
        <v>-1.3614380424577415E-2</v>
      </c>
      <c r="F53" s="5">
        <f t="shared" si="1"/>
        <v>9.9072663521374595E-3</v>
      </c>
      <c r="G53" s="5">
        <f t="shared" si="1"/>
        <v>-3.1695747612790672E-3</v>
      </c>
      <c r="I53" s="24" t="s">
        <v>50</v>
      </c>
      <c r="J53" s="21"/>
    </row>
    <row r="54" spans="1:17" x14ac:dyDescent="0.2">
      <c r="A54" s="3">
        <v>45596</v>
      </c>
      <c r="B54">
        <v>132.76</v>
      </c>
      <c r="C54">
        <v>186.4</v>
      </c>
      <c r="D54" s="4">
        <v>148.82</v>
      </c>
      <c r="E54" s="5">
        <f t="shared" si="0"/>
        <v>-4.837400275019902E-2</v>
      </c>
      <c r="F54" s="5">
        <f t="shared" si="1"/>
        <v>-3.3395343459469283E-2</v>
      </c>
      <c r="G54" s="5">
        <f t="shared" si="1"/>
        <v>5.1874674215147904E-3</v>
      </c>
      <c r="I54" s="20"/>
      <c r="J54" s="21"/>
    </row>
    <row r="55" spans="1:17" x14ac:dyDescent="0.2">
      <c r="A55" s="3">
        <v>45597</v>
      </c>
      <c r="B55">
        <v>135.4</v>
      </c>
      <c r="C55">
        <v>197.93</v>
      </c>
      <c r="D55" s="4">
        <v>153.07</v>
      </c>
      <c r="E55" s="5">
        <f t="shared" si="0"/>
        <v>1.9690373626400793E-2</v>
      </c>
      <c r="F55" s="5">
        <f t="shared" si="1"/>
        <v>6.0018530581152883E-2</v>
      </c>
      <c r="G55" s="5">
        <f t="shared" si="1"/>
        <v>2.8157811134500724E-2</v>
      </c>
      <c r="I55" s="20"/>
      <c r="J55" s="27" t="s">
        <v>48</v>
      </c>
      <c r="K55" s="17" t="s">
        <v>8</v>
      </c>
      <c r="L55" s="17" t="s">
        <v>51</v>
      </c>
    </row>
    <row r="56" spans="1:17" x14ac:dyDescent="0.2">
      <c r="A56" s="3">
        <v>45600</v>
      </c>
      <c r="B56">
        <v>136.05000000000001</v>
      </c>
      <c r="C56">
        <v>195.78</v>
      </c>
      <c r="D56" s="4">
        <v>153.97</v>
      </c>
      <c r="E56" s="5">
        <f t="shared" si="0"/>
        <v>4.7891047510806297E-3</v>
      </c>
      <c r="F56" s="5">
        <f t="shared" si="1"/>
        <v>-1.0921852999359509E-2</v>
      </c>
      <c r="G56" s="5">
        <f t="shared" si="1"/>
        <v>5.8624451382116938E-3</v>
      </c>
      <c r="I56" s="6" t="s">
        <v>21</v>
      </c>
      <c r="J56" s="5">
        <f>N26</f>
        <v>0.38681256305469452</v>
      </c>
      <c r="K56" s="5">
        <f>S8*SQRT(252)</f>
        <v>0.2773256728974472</v>
      </c>
      <c r="L56">
        <f>L46</f>
        <v>8.6260381878412312E-2</v>
      </c>
    </row>
    <row r="57" spans="1:17" x14ac:dyDescent="0.2">
      <c r="A57" s="3">
        <v>45601</v>
      </c>
      <c r="B57">
        <v>139.91</v>
      </c>
      <c r="C57">
        <v>199.5</v>
      </c>
      <c r="D57" s="4">
        <v>153.41</v>
      </c>
      <c r="E57" s="5">
        <f t="shared" si="0"/>
        <v>2.7976893515939023E-2</v>
      </c>
      <c r="F57" s="5">
        <f t="shared" si="1"/>
        <v>1.8822656496633807E-2</v>
      </c>
      <c r="G57" s="5">
        <f t="shared" si="1"/>
        <v>-3.6437023851453596E-3</v>
      </c>
      <c r="I57" s="6" t="s">
        <v>39</v>
      </c>
      <c r="J57" s="5">
        <f>N27</f>
        <v>0.1318747080658226</v>
      </c>
      <c r="K57" s="5">
        <f>Y8*SQRT(252)</f>
        <v>0.19898485863481169</v>
      </c>
    </row>
    <row r="58" spans="1:17" x14ac:dyDescent="0.2">
      <c r="A58" s="3">
        <v>45602</v>
      </c>
      <c r="B58">
        <v>145.61000000000001</v>
      </c>
      <c r="C58">
        <v>207.09</v>
      </c>
      <c r="D58" s="4">
        <v>157.72</v>
      </c>
      <c r="E58" s="5">
        <f t="shared" si="0"/>
        <v>3.993245597761879E-2</v>
      </c>
      <c r="F58" s="5">
        <f t="shared" si="1"/>
        <v>3.7339245053575845E-2</v>
      </c>
      <c r="G58" s="5">
        <f t="shared" si="1"/>
        <v>2.7707233152744485E-2</v>
      </c>
      <c r="I58" s="17" t="s">
        <v>58</v>
      </c>
      <c r="J58" s="5">
        <v>4.2900000000000001E-2</v>
      </c>
    </row>
    <row r="59" spans="1:17" x14ac:dyDescent="0.2">
      <c r="A59" s="3">
        <v>45603</v>
      </c>
      <c r="B59">
        <v>148.88</v>
      </c>
      <c r="C59">
        <v>210.05</v>
      </c>
      <c r="D59" s="4">
        <v>156.77000000000001</v>
      </c>
      <c r="E59" s="5">
        <f t="shared" si="0"/>
        <v>2.2208797611182083E-2</v>
      </c>
      <c r="F59" s="5">
        <f t="shared" si="1"/>
        <v>1.4192116231897121E-2</v>
      </c>
      <c r="G59" s="5">
        <f t="shared" si="1"/>
        <v>-6.0415459289866955E-3</v>
      </c>
    </row>
    <row r="60" spans="1:17" x14ac:dyDescent="0.2">
      <c r="A60" s="3">
        <v>45604</v>
      </c>
      <c r="B60">
        <v>147.63</v>
      </c>
      <c r="C60">
        <v>208.18</v>
      </c>
      <c r="D60" s="4">
        <v>156.93</v>
      </c>
      <c r="E60" s="5">
        <f t="shared" si="0"/>
        <v>-8.4314687879987818E-3</v>
      </c>
      <c r="F60" s="5">
        <f t="shared" si="1"/>
        <v>-8.9425075280687404E-3</v>
      </c>
      <c r="G60" s="5">
        <f t="shared" si="1"/>
        <v>1.0200829701896849E-3</v>
      </c>
      <c r="I60" s="17" t="s">
        <v>19</v>
      </c>
      <c r="J60" s="6" t="s">
        <v>21</v>
      </c>
      <c r="K60" s="6" t="s">
        <v>39</v>
      </c>
      <c r="M60" s="17" t="s">
        <v>69</v>
      </c>
      <c r="P60" s="11"/>
      <c r="Q60" s="11"/>
    </row>
    <row r="61" spans="1:17" x14ac:dyDescent="0.2">
      <c r="A61" s="3">
        <v>45607</v>
      </c>
      <c r="B61">
        <v>145.26</v>
      </c>
      <c r="C61">
        <v>206.84</v>
      </c>
      <c r="D61" s="4">
        <v>156.5</v>
      </c>
      <c r="E61" s="5">
        <f t="shared" si="0"/>
        <v>-1.618390336797439E-2</v>
      </c>
      <c r="F61" s="5">
        <f t="shared" si="1"/>
        <v>-6.4575425593016147E-3</v>
      </c>
      <c r="G61" s="5">
        <f t="shared" si="1"/>
        <v>-2.7438360704214754E-3</v>
      </c>
      <c r="I61" s="6" t="s">
        <v>21</v>
      </c>
      <c r="J61">
        <f>K56^2</f>
        <v>7.690952884802188E-2</v>
      </c>
      <c r="K61">
        <f>L56*K56*K57</f>
        <v>4.7601592562698213E-3</v>
      </c>
      <c r="L61" s="23"/>
      <c r="M61" s="19">
        <f>(J75-J58)/J76</f>
        <v>1.2862507200992923</v>
      </c>
    </row>
    <row r="62" spans="1:17" x14ac:dyDescent="0.2">
      <c r="A62" s="3">
        <v>45608</v>
      </c>
      <c r="B62">
        <v>148.29</v>
      </c>
      <c r="C62">
        <v>208.91</v>
      </c>
      <c r="D62" s="4">
        <v>155.29</v>
      </c>
      <c r="E62" s="5">
        <f t="shared" si="0"/>
        <v>2.0644575808955484E-2</v>
      </c>
      <c r="F62" s="5">
        <f t="shared" si="1"/>
        <v>9.957989682937261E-3</v>
      </c>
      <c r="G62" s="5">
        <f t="shared" si="1"/>
        <v>-7.7616733991102294E-3</v>
      </c>
      <c r="I62" s="6" t="s">
        <v>39</v>
      </c>
      <c r="J62">
        <f>L56*K56*K57</f>
        <v>4.7601592562698213E-3</v>
      </c>
      <c r="K62">
        <f>K57^2</f>
        <v>3.9594973965915992E-2</v>
      </c>
    </row>
    <row r="63" spans="1:17" x14ac:dyDescent="0.2">
      <c r="A63" s="3">
        <v>45609</v>
      </c>
      <c r="B63">
        <v>146.27000000000001</v>
      </c>
      <c r="C63">
        <v>214.1</v>
      </c>
      <c r="D63" s="4">
        <v>158.72</v>
      </c>
      <c r="E63" s="5">
        <f t="shared" si="0"/>
        <v>-1.3715587087980549E-2</v>
      </c>
      <c r="F63" s="5">
        <f t="shared" si="1"/>
        <v>2.4539658384679072E-2</v>
      </c>
      <c r="G63" s="5">
        <f t="shared" si="1"/>
        <v>2.184730695546484E-2</v>
      </c>
      <c r="M63" s="39" t="s">
        <v>74</v>
      </c>
      <c r="N63" s="39" t="s">
        <v>75</v>
      </c>
      <c r="O63" s="39" t="s">
        <v>70</v>
      </c>
    </row>
    <row r="64" spans="1:17" x14ac:dyDescent="0.2">
      <c r="A64" s="3">
        <v>45610</v>
      </c>
      <c r="B64">
        <v>146.76</v>
      </c>
      <c r="C64">
        <v>211.48</v>
      </c>
      <c r="D64" s="4">
        <v>161.80000000000001</v>
      </c>
      <c r="E64" s="5">
        <f t="shared" si="0"/>
        <v>3.3443705880842637E-3</v>
      </c>
      <c r="F64" s="5">
        <f t="shared" si="1"/>
        <v>-1.2312764228387701E-2</v>
      </c>
      <c r="G64" s="5">
        <f t="shared" si="1"/>
        <v>1.9219361087828766E-2</v>
      </c>
      <c r="M64" s="35">
        <v>0</v>
      </c>
      <c r="N64" s="38">
        <v>0</v>
      </c>
      <c r="O64" s="5">
        <f>+$J$58+$M$61*N64</f>
        <v>4.2900000000000001E-2</v>
      </c>
    </row>
    <row r="65" spans="1:18" x14ac:dyDescent="0.2">
      <c r="A65" s="3">
        <v>45611</v>
      </c>
      <c r="B65">
        <v>141.97999999999999</v>
      </c>
      <c r="C65">
        <v>202.61</v>
      </c>
      <c r="D65" s="4">
        <v>161.41999999999999</v>
      </c>
      <c r="E65" s="5">
        <f t="shared" si="0"/>
        <v>-3.3112396875841478E-2</v>
      </c>
      <c r="F65" s="5">
        <f t="shared" si="1"/>
        <v>-4.2847482429189496E-2</v>
      </c>
      <c r="G65" s="5">
        <f t="shared" si="1"/>
        <v>-2.3513407281652229E-3</v>
      </c>
      <c r="I65" s="17" t="s">
        <v>52</v>
      </c>
      <c r="J65" s="6" t="s">
        <v>21</v>
      </c>
      <c r="K65" s="6" t="s">
        <v>39</v>
      </c>
      <c r="M65" s="37">
        <v>1</v>
      </c>
      <c r="N65" s="38">
        <f>+M65*J76</f>
        <v>0.21129726186522982</v>
      </c>
      <c r="O65" s="5">
        <f>+$J$58+$M$61*N65</f>
        <v>0.31468125522916057</v>
      </c>
    </row>
    <row r="66" spans="1:18" ht="16" x14ac:dyDescent="0.2">
      <c r="A66" s="3">
        <v>45614</v>
      </c>
      <c r="B66">
        <v>140.15</v>
      </c>
      <c r="C66">
        <v>201.7</v>
      </c>
      <c r="D66" s="4">
        <v>160.76</v>
      </c>
      <c r="E66" s="5">
        <f t="shared" si="0"/>
        <v>-1.2972925000442384E-2</v>
      </c>
      <c r="F66" s="5">
        <f t="shared" si="1"/>
        <v>-4.5015039778938636E-3</v>
      </c>
      <c r="G66" s="5">
        <f t="shared" si="1"/>
        <v>-4.0970943152259407E-3</v>
      </c>
      <c r="I66" s="32" t="s">
        <v>21</v>
      </c>
      <c r="J66" s="26" cm="1">
        <f t="array" ref="J66:K67">MINVERSE(J61:K62)</f>
        <v>13.099763448481948</v>
      </c>
      <c r="K66" s="26">
        <v>-1.5748705956446474</v>
      </c>
      <c r="M66" s="36"/>
      <c r="N66" s="36"/>
    </row>
    <row r="67" spans="1:18" x14ac:dyDescent="0.2">
      <c r="A67" s="3">
        <v>45615</v>
      </c>
      <c r="B67">
        <v>147.01</v>
      </c>
      <c r="C67">
        <v>204.61</v>
      </c>
      <c r="D67" s="4">
        <v>159.6</v>
      </c>
      <c r="E67" s="5">
        <f t="shared" si="0"/>
        <v>4.7787334065077465E-2</v>
      </c>
      <c r="F67" s="5">
        <f t="shared" si="1"/>
        <v>1.4324283218301996E-2</v>
      </c>
      <c r="G67" s="5">
        <f t="shared" si="1"/>
        <v>-7.2418845652919691E-3</v>
      </c>
      <c r="I67" s="6" t="s">
        <v>39</v>
      </c>
      <c r="J67" s="26">
        <v>-1.5748705956446476</v>
      </c>
      <c r="K67" s="26">
        <v>25.445063702038418</v>
      </c>
      <c r="M67" s="36"/>
      <c r="N67" s="36"/>
    </row>
    <row r="68" spans="1:18" x14ac:dyDescent="0.2">
      <c r="A68" s="3">
        <v>45616</v>
      </c>
      <c r="B68">
        <v>145.88999999999999</v>
      </c>
      <c r="C68">
        <v>202.88</v>
      </c>
      <c r="D68" s="4">
        <v>161.33000000000001</v>
      </c>
      <c r="E68" s="5">
        <f>LN(B68/B67)</f>
        <v>-7.6476985920707645E-3</v>
      </c>
      <c r="F68" s="5">
        <f>LN(C68/C67)</f>
        <v>-8.4910569296068189E-3</v>
      </c>
      <c r="G68" s="5">
        <f>LN(D68/D67)</f>
        <v>1.0781271662344322E-2</v>
      </c>
      <c r="M68" s="36"/>
      <c r="N68" s="36"/>
    </row>
    <row r="69" spans="1:18" x14ac:dyDescent="0.2">
      <c r="A69" s="3">
        <v>45617</v>
      </c>
      <c r="B69">
        <v>146.66999999999999</v>
      </c>
      <c r="C69">
        <v>198.38</v>
      </c>
      <c r="D69" s="4">
        <v>161.63</v>
      </c>
      <c r="E69" s="5">
        <f t="shared" ref="E69:E129" si="2">LN(B69/B68)</f>
        <v>5.3322521748597551E-3</v>
      </c>
      <c r="F69" s="5">
        <f t="shared" ref="E69:G129" si="3">LN(C69/C68)</f>
        <v>-2.2430287931013364E-2</v>
      </c>
      <c r="G69" s="5">
        <f t="shared" si="3"/>
        <v>1.8578157436647071E-3</v>
      </c>
      <c r="I69" s="17" t="s">
        <v>53</v>
      </c>
      <c r="J69" s="5">
        <f>J56-S46</f>
        <v>0.34391256305469453</v>
      </c>
      <c r="M69" s="39" t="s">
        <v>71</v>
      </c>
      <c r="N69" s="39" t="s">
        <v>72</v>
      </c>
      <c r="O69" s="39" t="s">
        <v>76</v>
      </c>
      <c r="P69" s="39" t="s">
        <v>77</v>
      </c>
      <c r="Q69" s="39" t="s">
        <v>78</v>
      </c>
      <c r="R69" s="39" t="s">
        <v>45</v>
      </c>
    </row>
    <row r="70" spans="1:18" x14ac:dyDescent="0.2">
      <c r="A70" s="3">
        <v>45618</v>
      </c>
      <c r="B70">
        <v>141.94999999999999</v>
      </c>
      <c r="C70">
        <v>197.12</v>
      </c>
      <c r="D70" s="4">
        <v>162.36000000000001</v>
      </c>
      <c r="E70" s="5">
        <f t="shared" si="2"/>
        <v>-3.2710282339683691E-2</v>
      </c>
      <c r="F70" s="5">
        <f t="shared" si="3"/>
        <v>-6.3717029726926711E-3</v>
      </c>
      <c r="G70" s="5">
        <f t="shared" si="3"/>
        <v>4.5063195489796924E-3</v>
      </c>
      <c r="I70" s="17" t="s">
        <v>54</v>
      </c>
      <c r="J70" s="5">
        <f>J57-S46</f>
        <v>8.8974708065822611E-2</v>
      </c>
      <c r="M70" s="34">
        <v>1</v>
      </c>
      <c r="N70" s="34">
        <f>1-M70</f>
        <v>0</v>
      </c>
      <c r="O70" s="34">
        <v>0.38681256305469452</v>
      </c>
      <c r="P70" s="34">
        <v>0.1318747080658226</v>
      </c>
      <c r="Q70" s="5">
        <f>+SQRT(M70^2*$K$56^2+N70^2*$K$57^2+2*M70*N70*$K$61)</f>
        <v>0.2773256728974472</v>
      </c>
      <c r="R70" s="5">
        <f>+SUMPRODUCT(M70:N70,$O$70:$P$70)</f>
        <v>0.38681256305469452</v>
      </c>
    </row>
    <row r="71" spans="1:18" x14ac:dyDescent="0.2">
      <c r="A71" s="3">
        <v>45621</v>
      </c>
      <c r="B71">
        <v>136.02000000000001</v>
      </c>
      <c r="C71">
        <v>201.45</v>
      </c>
      <c r="D71" s="4">
        <v>160.36000000000001</v>
      </c>
      <c r="E71" s="5">
        <f t="shared" si="2"/>
        <v>-4.267294917148743E-2</v>
      </c>
      <c r="F71" s="5">
        <f t="shared" si="3"/>
        <v>2.1728531292201227E-2</v>
      </c>
      <c r="G71" s="5">
        <f t="shared" si="3"/>
        <v>-1.2394804196390823E-2</v>
      </c>
      <c r="J71" s="5"/>
      <c r="M71" s="34">
        <v>0.75</v>
      </c>
      <c r="N71" s="34">
        <f>1-M71</f>
        <v>0.25</v>
      </c>
      <c r="Q71" s="5">
        <f>+SQRT(M71^2*$K$56^2+N71^2*$K$57^2+2*M71*N71*$K$61)</f>
        <v>0.21799393471145762</v>
      </c>
      <c r="R71" s="5">
        <f>+SUMPRODUCT(M71:N71,$O$70:$P$70)</f>
        <v>0.32307809930747655</v>
      </c>
    </row>
    <row r="72" spans="1:18" x14ac:dyDescent="0.2">
      <c r="A72" s="3">
        <v>45622</v>
      </c>
      <c r="B72">
        <v>136.91999999999999</v>
      </c>
      <c r="C72">
        <v>207.86</v>
      </c>
      <c r="D72" s="4">
        <v>162.53</v>
      </c>
      <c r="E72" s="5">
        <f t="shared" si="2"/>
        <v>6.594879914491771E-3</v>
      </c>
      <c r="F72" s="5">
        <f t="shared" si="3"/>
        <v>3.1323564522919498E-2</v>
      </c>
      <c r="G72" s="5">
        <f t="shared" si="3"/>
        <v>1.3441312340778305E-2</v>
      </c>
      <c r="I72" s="17" t="s">
        <v>55</v>
      </c>
      <c r="J72">
        <f>J66*J69+K66*J70</f>
        <v>4.3650495714886999</v>
      </c>
      <c r="K72">
        <f>J72/(J72+J73)</f>
        <v>0.71706317279290477</v>
      </c>
      <c r="M72" s="34">
        <v>0.5</v>
      </c>
      <c r="N72" s="34">
        <f>1-M72</f>
        <v>0.5</v>
      </c>
      <c r="Q72" s="5">
        <f>+SQRT(M72^2*$K$56^2+N72^2*$K$57^2+2*M72*N72*$K$61)</f>
        <v>0.17749987417353111</v>
      </c>
      <c r="R72" s="5">
        <f>+SUMPRODUCT(M72:N72,$O$70:$P$70)</f>
        <v>0.25934363556025858</v>
      </c>
    </row>
    <row r="73" spans="1:18" x14ac:dyDescent="0.2">
      <c r="A73" s="3">
        <v>45623</v>
      </c>
      <c r="B73">
        <v>135.34</v>
      </c>
      <c r="C73">
        <v>205.74</v>
      </c>
      <c r="D73" s="4">
        <v>162.11000000000001</v>
      </c>
      <c r="E73" s="5">
        <f t="shared" si="2"/>
        <v>-1.1606682857905002E-2</v>
      </c>
      <c r="F73" s="5">
        <f t="shared" si="3"/>
        <v>-1.0251540457391649E-2</v>
      </c>
      <c r="G73" s="5">
        <f t="shared" si="3"/>
        <v>-2.5874829616027036E-3</v>
      </c>
      <c r="J73">
        <f>J67*J69+K67*J70</f>
        <v>1.7223493315775036</v>
      </c>
      <c r="K73">
        <f>1-K72</f>
        <v>0.28293682720709523</v>
      </c>
      <c r="M73" s="34">
        <v>0.25</v>
      </c>
      <c r="N73" s="34">
        <f>1-M73</f>
        <v>0.75</v>
      </c>
      <c r="Q73" s="5">
        <f>+SQRT(M73^2*$K$56^2+N73^2*$K$57^2+2*M73*N73*$K$61)</f>
        <v>0.16989431458977755</v>
      </c>
      <c r="R73" s="5">
        <f>+SUMPRODUCT(M73:N73,$O$70:$P$70)</f>
        <v>0.19560917181304061</v>
      </c>
    </row>
    <row r="74" spans="1:18" ht="16" thickBot="1" x14ac:dyDescent="0.25">
      <c r="A74" s="3">
        <v>45625</v>
      </c>
      <c r="B74">
        <v>138.25</v>
      </c>
      <c r="C74">
        <v>207.89</v>
      </c>
      <c r="D74" s="4">
        <v>161.93</v>
      </c>
      <c r="E74" s="5">
        <f t="shared" si="2"/>
        <v>2.1273509598364767E-2</v>
      </c>
      <c r="F74" s="5">
        <f t="shared" si="3"/>
        <v>1.0395857956138769E-2</v>
      </c>
      <c r="G74" s="5">
        <f t="shared" si="3"/>
        <v>-1.1109740681024118E-3</v>
      </c>
      <c r="M74" s="34">
        <v>0</v>
      </c>
      <c r="N74" s="34">
        <f>1-M74</f>
        <v>1</v>
      </c>
      <c r="Q74" s="5">
        <f>+SQRT(M74^2*$K$56^2+N74^2*$K$57^2+2*M74*N74*$K$61)</f>
        <v>0.19898485863481169</v>
      </c>
      <c r="R74" s="5">
        <f>+SUMPRODUCT(M74:N74,$O$70:$P$70)</f>
        <v>0.1318747080658226</v>
      </c>
    </row>
    <row r="75" spans="1:18" ht="16" thickBot="1" x14ac:dyDescent="0.25">
      <c r="A75" s="3">
        <v>45628</v>
      </c>
      <c r="B75">
        <v>138.63</v>
      </c>
      <c r="C75">
        <v>210.71</v>
      </c>
      <c r="D75" s="4">
        <v>162.21</v>
      </c>
      <c r="E75" s="5">
        <f t="shared" si="2"/>
        <v>2.7448731478405524E-3</v>
      </c>
      <c r="F75" s="5">
        <f t="shared" si="3"/>
        <v>1.3473686869693382E-2</v>
      </c>
      <c r="G75" s="5">
        <f t="shared" si="3"/>
        <v>1.7276489766438624E-3</v>
      </c>
      <c r="I75" s="17" t="s">
        <v>56</v>
      </c>
      <c r="J75" s="5">
        <f>K72*J56+K73*J57</f>
        <v>0.31468125522916057</v>
      </c>
      <c r="L75" s="40" t="s">
        <v>73</v>
      </c>
      <c r="M75" s="41">
        <f>+K72</f>
        <v>0.71706317279290477</v>
      </c>
      <c r="N75" s="41">
        <f>1-M75</f>
        <v>0.28293682720709523</v>
      </c>
      <c r="O75" s="41"/>
      <c r="P75" s="41"/>
      <c r="Q75" s="41">
        <f>+SQRT(M75^2*$K$56^2+N75^2*$K$57^2+2*M75*N75*$K$61)</f>
        <v>0.21129726186522982</v>
      </c>
      <c r="R75" s="42">
        <f>+SUMPRODUCT(M75:N75,$O$70:$P$70)</f>
        <v>0.31468125522916057</v>
      </c>
    </row>
    <row r="76" spans="1:18" x14ac:dyDescent="0.2">
      <c r="A76" s="3">
        <v>45629</v>
      </c>
      <c r="B76">
        <v>140.26</v>
      </c>
      <c r="C76">
        <v>213.44</v>
      </c>
      <c r="D76" s="4">
        <v>161.91999999999999</v>
      </c>
      <c r="E76" s="5">
        <f t="shared" si="2"/>
        <v>1.1689329558479629E-2</v>
      </c>
      <c r="F76" s="5">
        <f t="shared" si="3"/>
        <v>1.287298219854281E-2</v>
      </c>
      <c r="G76" s="5">
        <f t="shared" si="3"/>
        <v>-1.7894059629225585E-3</v>
      </c>
      <c r="I76" s="17" t="s">
        <v>57</v>
      </c>
      <c r="J76" s="5">
        <f>SQRT(K72^2*J61+K73^2*K62+2*K72*K73*K61)</f>
        <v>0.21129726186522982</v>
      </c>
      <c r="R76" s="5"/>
    </row>
    <row r="77" spans="1:18" x14ac:dyDescent="0.2">
      <c r="A77" s="3">
        <v>45630</v>
      </c>
      <c r="B77">
        <v>145.13999999999999</v>
      </c>
      <c r="C77">
        <v>218.16</v>
      </c>
      <c r="D77" s="4">
        <v>158.32</v>
      </c>
      <c r="E77" s="5">
        <f t="shared" si="2"/>
        <v>3.4200950741226366E-2</v>
      </c>
      <c r="F77" s="5">
        <f t="shared" si="3"/>
        <v>2.1872975810074226E-2</v>
      </c>
      <c r="G77" s="5">
        <f t="shared" si="3"/>
        <v>-2.2484084804790361E-2</v>
      </c>
      <c r="J77" s="5"/>
      <c r="M77" s="34"/>
      <c r="N77" s="34"/>
      <c r="Q77" s="5"/>
      <c r="R77" s="5"/>
    </row>
    <row r="78" spans="1:18" x14ac:dyDescent="0.2">
      <c r="A78" s="3">
        <v>45631</v>
      </c>
      <c r="B78">
        <v>145.06</v>
      </c>
      <c r="C78">
        <v>220.55</v>
      </c>
      <c r="D78" s="4">
        <v>159.33000000000001</v>
      </c>
      <c r="E78" s="5">
        <f t="shared" si="2"/>
        <v>-5.5134391472441149E-4</v>
      </c>
      <c r="F78" s="5">
        <f t="shared" si="3"/>
        <v>1.089568801361581E-2</v>
      </c>
      <c r="G78" s="5">
        <f t="shared" si="3"/>
        <v>6.3592218081072877E-3</v>
      </c>
      <c r="I78" s="24" t="s">
        <v>66</v>
      </c>
      <c r="J78" s="5"/>
    </row>
    <row r="79" spans="1:18" x14ac:dyDescent="0.2">
      <c r="A79" s="3">
        <v>45632</v>
      </c>
      <c r="B79">
        <v>142.44</v>
      </c>
      <c r="C79">
        <v>227.03</v>
      </c>
      <c r="D79" s="4">
        <v>155.24</v>
      </c>
      <c r="E79" s="5">
        <f t="shared" si="2"/>
        <v>-1.8226591525689419E-2</v>
      </c>
      <c r="F79" s="5">
        <f t="shared" si="3"/>
        <v>2.8957740788585033E-2</v>
      </c>
      <c r="G79" s="5">
        <f t="shared" si="3"/>
        <v>-2.6005216601711907E-2</v>
      </c>
    </row>
    <row r="80" spans="1:18" x14ac:dyDescent="0.2">
      <c r="A80" s="3">
        <v>45635</v>
      </c>
      <c r="B80">
        <v>138.81</v>
      </c>
      <c r="C80">
        <v>226.09</v>
      </c>
      <c r="D80" s="4">
        <v>157.08000000000001</v>
      </c>
      <c r="E80" s="5">
        <f t="shared" si="2"/>
        <v>-2.5814766822559045E-2</v>
      </c>
      <c r="F80" s="5">
        <f t="shared" si="3"/>
        <v>-4.1490172513090158E-3</v>
      </c>
      <c r="G80" s="5">
        <f t="shared" si="3"/>
        <v>1.1782923209103407E-2</v>
      </c>
      <c r="I80" s="17" t="s">
        <v>59</v>
      </c>
      <c r="J80">
        <f>(J75-J58)/(6*J76^2)</f>
        <v>1.0145664838443671</v>
      </c>
    </row>
    <row r="81" spans="1:11" x14ac:dyDescent="0.2">
      <c r="A81" s="3">
        <v>45636</v>
      </c>
      <c r="B81">
        <v>135.07</v>
      </c>
      <c r="C81">
        <v>225.04</v>
      </c>
      <c r="D81" s="4">
        <v>157</v>
      </c>
      <c r="E81" s="5">
        <f t="shared" si="2"/>
        <v>-2.731292901434523E-2</v>
      </c>
      <c r="F81" s="5">
        <f t="shared" si="3"/>
        <v>-4.6549859066235526E-3</v>
      </c>
      <c r="G81" s="5">
        <f t="shared" si="3"/>
        <v>-5.0942436150084268E-4</v>
      </c>
      <c r="I81" s="17" t="s">
        <v>60</v>
      </c>
      <c r="J81" s="5">
        <f>J80*J75+(1-J80)*J58</f>
        <v>0.31864015249265798</v>
      </c>
    </row>
    <row r="82" spans="1:11" x14ac:dyDescent="0.2">
      <c r="A82" s="3">
        <v>45637</v>
      </c>
      <c r="B82">
        <v>139.31</v>
      </c>
      <c r="C82">
        <v>230.26</v>
      </c>
      <c r="D82" s="4">
        <v>156.21</v>
      </c>
      <c r="E82" s="5">
        <f t="shared" si="2"/>
        <v>3.0908503145460821E-2</v>
      </c>
      <c r="F82" s="5">
        <f t="shared" si="3"/>
        <v>2.2930941063916892E-2</v>
      </c>
      <c r="G82" s="5">
        <f t="shared" si="3"/>
        <v>-5.0445495053906223E-3</v>
      </c>
      <c r="I82" s="17" t="s">
        <v>61</v>
      </c>
      <c r="J82" s="5">
        <f>J80*J76</f>
        <v>0.21437512001654868</v>
      </c>
    </row>
    <row r="83" spans="1:11" x14ac:dyDescent="0.2">
      <c r="A83" s="3">
        <v>45638</v>
      </c>
      <c r="B83">
        <v>137.34</v>
      </c>
      <c r="C83">
        <v>228.97</v>
      </c>
      <c r="D83" s="4">
        <v>154.71</v>
      </c>
      <c r="E83" s="5">
        <f t="shared" si="2"/>
        <v>-1.4242062525603194E-2</v>
      </c>
      <c r="F83" s="5">
        <f t="shared" si="3"/>
        <v>-5.6181146399125149E-3</v>
      </c>
      <c r="G83" s="5">
        <f t="shared" si="3"/>
        <v>-9.6488591119401473E-3</v>
      </c>
    </row>
    <row r="84" spans="1:11" x14ac:dyDescent="0.2">
      <c r="A84" s="3">
        <v>45639</v>
      </c>
      <c r="B84">
        <v>134.25</v>
      </c>
      <c r="C84">
        <v>227.46</v>
      </c>
      <c r="D84" s="4">
        <v>153.87</v>
      </c>
      <c r="E84" s="5">
        <f t="shared" si="2"/>
        <v>-2.2755869803556265E-2</v>
      </c>
      <c r="F84" s="5">
        <f t="shared" si="3"/>
        <v>-6.6165918493073725E-3</v>
      </c>
      <c r="G84" s="5">
        <f t="shared" si="3"/>
        <v>-5.4443066616904831E-3</v>
      </c>
      <c r="I84" s="17" t="s">
        <v>58</v>
      </c>
      <c r="J84" s="5">
        <f>1-J80</f>
        <v>-1.4566483844367095E-2</v>
      </c>
    </row>
    <row r="85" spans="1:11" x14ac:dyDescent="0.2">
      <c r="A85" s="3">
        <v>45642</v>
      </c>
      <c r="B85">
        <v>132</v>
      </c>
      <c r="C85">
        <v>232.93</v>
      </c>
      <c r="D85" s="4">
        <v>149.36000000000001</v>
      </c>
      <c r="E85" s="5">
        <f t="shared" si="2"/>
        <v>-1.6901810802603254E-2</v>
      </c>
      <c r="F85" s="5">
        <f t="shared" si="3"/>
        <v>2.3763580486964548E-2</v>
      </c>
      <c r="G85" s="5">
        <f t="shared" si="3"/>
        <v>-2.9748590835819527E-2</v>
      </c>
      <c r="I85" s="17" t="s">
        <v>62</v>
      </c>
      <c r="J85" s="5">
        <f>J80*K72</f>
        <v>0.72750826191478324</v>
      </c>
    </row>
    <row r="86" spans="1:11" x14ac:dyDescent="0.2">
      <c r="A86" s="3">
        <v>45643</v>
      </c>
      <c r="B86">
        <v>130.38999999999999</v>
      </c>
      <c r="C86">
        <v>231.15</v>
      </c>
      <c r="D86" s="4">
        <v>148.11000000000001</v>
      </c>
      <c r="E86" s="5">
        <f t="shared" si="2"/>
        <v>-1.2271963150990077E-2</v>
      </c>
      <c r="F86" s="5">
        <f t="shared" si="3"/>
        <v>-7.67112880902857E-3</v>
      </c>
      <c r="G86" s="5">
        <f t="shared" si="3"/>
        <v>-8.4042582945859871E-3</v>
      </c>
      <c r="I86" s="17" t="s">
        <v>63</v>
      </c>
      <c r="J86" s="5">
        <f>J80*K73</f>
        <v>0.28705822192958386</v>
      </c>
    </row>
    <row r="87" spans="1:11" x14ac:dyDescent="0.2">
      <c r="A87" s="3">
        <v>45644</v>
      </c>
      <c r="B87">
        <v>128.91</v>
      </c>
      <c r="C87">
        <v>220.52</v>
      </c>
      <c r="D87" s="4">
        <v>144.08000000000001</v>
      </c>
      <c r="E87" s="5">
        <f t="shared" si="2"/>
        <v>-1.1415472980367396E-2</v>
      </c>
      <c r="F87" s="5">
        <f t="shared" si="3"/>
        <v>-4.7078456712751592E-2</v>
      </c>
      <c r="G87" s="5">
        <f t="shared" si="3"/>
        <v>-2.7586540071180551E-2</v>
      </c>
      <c r="I87" s="17" t="s">
        <v>64</v>
      </c>
      <c r="J87" s="5">
        <f>SUM(J84:J86)</f>
        <v>1</v>
      </c>
    </row>
    <row r="88" spans="1:11" x14ac:dyDescent="0.2">
      <c r="A88" s="3">
        <v>45645</v>
      </c>
      <c r="B88">
        <v>130.68</v>
      </c>
      <c r="C88">
        <v>223.29</v>
      </c>
      <c r="D88" s="4">
        <v>141.15</v>
      </c>
      <c r="E88" s="5">
        <f t="shared" si="2"/>
        <v>1.3637100277856131E-2</v>
      </c>
      <c r="F88" s="5">
        <f t="shared" si="3"/>
        <v>1.2482981318446182E-2</v>
      </c>
      <c r="G88" s="5">
        <f t="shared" si="3"/>
        <v>-2.0545546168202401E-2</v>
      </c>
      <c r="K88" s="5"/>
    </row>
    <row r="89" spans="1:11" x14ac:dyDescent="0.2">
      <c r="A89" s="3">
        <v>45646</v>
      </c>
      <c r="B89">
        <v>134.69999999999999</v>
      </c>
      <c r="C89">
        <v>224.92</v>
      </c>
      <c r="D89" s="4">
        <v>142.85</v>
      </c>
      <c r="E89" s="5">
        <f t="shared" si="2"/>
        <v>3.0298496683448778E-2</v>
      </c>
      <c r="F89" s="5">
        <f t="shared" si="3"/>
        <v>7.2734083840718979E-3</v>
      </c>
      <c r="G89" s="5">
        <f t="shared" si="3"/>
        <v>1.1971973977283723E-2</v>
      </c>
    </row>
    <row r="90" spans="1:11" x14ac:dyDescent="0.2">
      <c r="A90" s="3">
        <v>45649</v>
      </c>
      <c r="B90">
        <v>139.66999999999999</v>
      </c>
      <c r="C90">
        <v>225.06</v>
      </c>
      <c r="D90" s="4">
        <v>142.97</v>
      </c>
      <c r="E90" s="5">
        <f t="shared" si="2"/>
        <v>3.6232413901361615E-2</v>
      </c>
      <c r="F90" s="5">
        <f t="shared" si="3"/>
        <v>6.2224989785008612E-4</v>
      </c>
      <c r="G90" s="5">
        <f t="shared" si="3"/>
        <v>8.3968936429077692E-4</v>
      </c>
    </row>
    <row r="91" spans="1:11" x14ac:dyDescent="0.2">
      <c r="A91" s="3">
        <v>45650</v>
      </c>
      <c r="B91">
        <v>140.22</v>
      </c>
      <c r="C91">
        <v>229.05</v>
      </c>
      <c r="D91" s="4">
        <v>143.84</v>
      </c>
      <c r="E91" s="5">
        <f t="shared" si="2"/>
        <v>3.9301204611417624E-3</v>
      </c>
      <c r="F91" s="5">
        <f t="shared" si="3"/>
        <v>1.7573287010900208E-2</v>
      </c>
      <c r="G91" s="5">
        <f t="shared" si="3"/>
        <v>6.066752682237362E-3</v>
      </c>
    </row>
    <row r="92" spans="1:11" x14ac:dyDescent="0.2">
      <c r="A92" s="3">
        <v>45652</v>
      </c>
      <c r="B92">
        <v>139.93</v>
      </c>
      <c r="C92">
        <v>227.05</v>
      </c>
      <c r="D92" s="4">
        <v>143.97999999999999</v>
      </c>
      <c r="E92" s="5">
        <f t="shared" si="2"/>
        <v>-2.070320211199508E-3</v>
      </c>
      <c r="F92" s="5">
        <f t="shared" si="3"/>
        <v>-8.7700627887910398E-3</v>
      </c>
      <c r="G92" s="5">
        <f t="shared" si="3"/>
        <v>9.728303178465408E-4</v>
      </c>
    </row>
    <row r="93" spans="1:11" x14ac:dyDescent="0.2">
      <c r="A93" s="3">
        <v>45653</v>
      </c>
      <c r="B93">
        <v>137.01</v>
      </c>
      <c r="C93">
        <v>223.75</v>
      </c>
      <c r="D93" s="4">
        <v>144</v>
      </c>
      <c r="E93" s="5">
        <f t="shared" si="2"/>
        <v>-2.1088381702604804E-2</v>
      </c>
      <c r="F93" s="5">
        <f t="shared" si="3"/>
        <v>-1.4640900388995468E-2</v>
      </c>
      <c r="G93" s="5">
        <f t="shared" si="3"/>
        <v>1.3889853484391336E-4</v>
      </c>
    </row>
    <row r="94" spans="1:11" x14ac:dyDescent="0.2">
      <c r="A94" s="3">
        <v>45656</v>
      </c>
      <c r="B94">
        <v>137.49</v>
      </c>
      <c r="C94">
        <v>221.3</v>
      </c>
      <c r="D94" s="4">
        <v>143.07</v>
      </c>
      <c r="E94" s="5">
        <f t="shared" si="2"/>
        <v>3.4972713241252736E-3</v>
      </c>
      <c r="F94" s="5">
        <f t="shared" si="3"/>
        <v>-1.1010110097960732E-2</v>
      </c>
      <c r="G94" s="5">
        <f t="shared" si="3"/>
        <v>-6.479278597757961E-3</v>
      </c>
    </row>
    <row r="95" spans="1:11" x14ac:dyDescent="0.2">
      <c r="A95" s="3">
        <v>45657</v>
      </c>
      <c r="B95">
        <v>134.29</v>
      </c>
      <c r="C95">
        <v>219.39</v>
      </c>
      <c r="D95" s="4">
        <v>144.84</v>
      </c>
      <c r="E95" s="5">
        <f t="shared" si="2"/>
        <v>-2.3549546596058561E-2</v>
      </c>
      <c r="F95" s="5">
        <f t="shared" si="3"/>
        <v>-8.6682791060346213E-3</v>
      </c>
      <c r="G95" s="5">
        <f t="shared" si="3"/>
        <v>1.2295663919197867E-2</v>
      </c>
    </row>
    <row r="96" spans="1:11" x14ac:dyDescent="0.2">
      <c r="A96" s="3">
        <v>45659</v>
      </c>
      <c r="B96">
        <v>138.31</v>
      </c>
      <c r="C96">
        <v>220.22</v>
      </c>
      <c r="D96" s="4">
        <v>146.71</v>
      </c>
      <c r="E96" s="5">
        <f t="shared" si="2"/>
        <v>2.9495902043532696E-2</v>
      </c>
      <c r="F96" s="5">
        <f t="shared" si="3"/>
        <v>3.7760787344755151E-3</v>
      </c>
      <c r="G96" s="5">
        <f t="shared" si="3"/>
        <v>1.2828164254112234E-2</v>
      </c>
    </row>
    <row r="97" spans="1:7" x14ac:dyDescent="0.2">
      <c r="A97" s="3">
        <v>45660</v>
      </c>
      <c r="B97">
        <v>144.47</v>
      </c>
      <c r="C97">
        <v>224.19</v>
      </c>
      <c r="D97" s="4">
        <v>147.85</v>
      </c>
      <c r="E97" s="5">
        <f t="shared" si="2"/>
        <v>4.3574330904673421E-2</v>
      </c>
      <c r="F97" s="5">
        <f t="shared" si="3"/>
        <v>1.7866859924863424E-2</v>
      </c>
      <c r="G97" s="5">
        <f t="shared" si="3"/>
        <v>7.7403971469335673E-3</v>
      </c>
    </row>
    <row r="98" spans="1:7" x14ac:dyDescent="0.2">
      <c r="A98" s="3">
        <v>45663</v>
      </c>
      <c r="B98">
        <v>149.43</v>
      </c>
      <c r="C98">
        <v>227.61</v>
      </c>
      <c r="D98" s="4">
        <v>147.26</v>
      </c>
      <c r="E98" s="5">
        <f t="shared" si="2"/>
        <v>3.3756182212011883E-2</v>
      </c>
      <c r="F98" s="5">
        <f t="shared" si="3"/>
        <v>1.5139731407784835E-2</v>
      </c>
      <c r="G98" s="5">
        <f t="shared" si="3"/>
        <v>-3.9985143579154636E-3</v>
      </c>
    </row>
    <row r="99" spans="1:7" x14ac:dyDescent="0.2">
      <c r="A99" s="3">
        <v>45664</v>
      </c>
      <c r="B99">
        <v>140.13999999999999</v>
      </c>
      <c r="C99">
        <v>222.11</v>
      </c>
      <c r="D99" s="4">
        <v>149.59</v>
      </c>
      <c r="E99" s="5">
        <f t="shared" si="2"/>
        <v>-6.4186132810914065E-2</v>
      </c>
      <c r="F99" s="5">
        <f t="shared" si="3"/>
        <v>-2.4460883367675646E-2</v>
      </c>
      <c r="G99" s="5">
        <f t="shared" si="3"/>
        <v>1.5698486445798812E-2</v>
      </c>
    </row>
    <row r="100" spans="1:7" x14ac:dyDescent="0.2">
      <c r="A100" s="3">
        <v>45665</v>
      </c>
      <c r="B100">
        <v>140.11000000000001</v>
      </c>
      <c r="C100">
        <v>222.13</v>
      </c>
      <c r="D100" s="4">
        <v>150.30000000000001</v>
      </c>
      <c r="E100" s="5">
        <f t="shared" si="2"/>
        <v>-2.140945592475461E-4</v>
      </c>
      <c r="F100" s="5">
        <f t="shared" si="3"/>
        <v>9.0041419113513752E-5</v>
      </c>
      <c r="G100" s="5">
        <f t="shared" si="3"/>
        <v>4.73507837255931E-3</v>
      </c>
    </row>
    <row r="101" spans="1:7" x14ac:dyDescent="0.2">
      <c r="A101" s="3">
        <v>45667</v>
      </c>
      <c r="B101">
        <v>135.91</v>
      </c>
      <c r="C101">
        <v>218.94</v>
      </c>
      <c r="D101" s="4">
        <v>153.13999999999999</v>
      </c>
      <c r="E101" s="5">
        <f t="shared" si="2"/>
        <v>-3.0434926415884248E-2</v>
      </c>
      <c r="F101" s="5">
        <f t="shared" si="3"/>
        <v>-1.4465076393119836E-2</v>
      </c>
      <c r="G101" s="5">
        <f t="shared" si="3"/>
        <v>1.8719238926048414E-2</v>
      </c>
    </row>
    <row r="102" spans="1:7" x14ac:dyDescent="0.2">
      <c r="A102" s="3">
        <v>45670</v>
      </c>
      <c r="B102">
        <v>133.22999999999999</v>
      </c>
      <c r="C102">
        <v>218.46</v>
      </c>
      <c r="D102" s="4">
        <v>155.35</v>
      </c>
      <c r="E102" s="5">
        <f t="shared" si="2"/>
        <v>-1.9915943995135368E-2</v>
      </c>
      <c r="F102" s="5">
        <f t="shared" si="3"/>
        <v>-2.1947882610141591E-3</v>
      </c>
      <c r="G102" s="5">
        <f t="shared" si="3"/>
        <v>1.4328100154079105E-2</v>
      </c>
    </row>
    <row r="103" spans="1:7" x14ac:dyDescent="0.2">
      <c r="A103" s="3">
        <v>45671</v>
      </c>
      <c r="B103">
        <v>131.76</v>
      </c>
      <c r="C103">
        <v>217.76</v>
      </c>
      <c r="D103" s="4">
        <v>156.9</v>
      </c>
      <c r="E103" s="5">
        <f t="shared" si="2"/>
        <v>-1.1094872102735659E-2</v>
      </c>
      <c r="F103" s="5">
        <f t="shared" si="3"/>
        <v>-3.2093925122412274E-3</v>
      </c>
      <c r="G103" s="5">
        <f t="shared" si="3"/>
        <v>9.9280238999304941E-3</v>
      </c>
    </row>
    <row r="104" spans="1:7" x14ac:dyDescent="0.2">
      <c r="A104" s="3">
        <v>45672</v>
      </c>
      <c r="B104">
        <v>136.24</v>
      </c>
      <c r="C104">
        <v>223.35</v>
      </c>
      <c r="D104" s="4">
        <v>158.33000000000001</v>
      </c>
      <c r="E104" s="5">
        <f t="shared" si="2"/>
        <v>3.3435950485048091E-2</v>
      </c>
      <c r="F104" s="5">
        <f t="shared" si="3"/>
        <v>2.5346508894971788E-2</v>
      </c>
      <c r="G104" s="5">
        <f t="shared" si="3"/>
        <v>9.0728027743559991E-3</v>
      </c>
    </row>
    <row r="105" spans="1:7" x14ac:dyDescent="0.2">
      <c r="A105" s="3">
        <v>45673</v>
      </c>
      <c r="B105">
        <v>133.57</v>
      </c>
      <c r="C105">
        <v>220.66</v>
      </c>
      <c r="D105" s="4">
        <v>159.38</v>
      </c>
      <c r="E105" s="5">
        <f t="shared" si="2"/>
        <v>-1.9792351365419E-2</v>
      </c>
      <c r="F105" s="5">
        <f t="shared" si="3"/>
        <v>-1.2116992465967626E-2</v>
      </c>
      <c r="G105" s="5">
        <f t="shared" si="3"/>
        <v>6.6098254562592159E-3</v>
      </c>
    </row>
    <row r="106" spans="1:7" x14ac:dyDescent="0.2">
      <c r="A106" s="3">
        <v>45674</v>
      </c>
      <c r="B106">
        <v>137.71</v>
      </c>
      <c r="C106">
        <v>225.94</v>
      </c>
      <c r="D106" s="4">
        <v>161.47</v>
      </c>
      <c r="E106" s="5">
        <f t="shared" si="2"/>
        <v>3.0524339750020613E-2</v>
      </c>
      <c r="F106" s="5">
        <f t="shared" si="3"/>
        <v>2.3646421966622699E-2</v>
      </c>
      <c r="G106" s="5">
        <f t="shared" si="3"/>
        <v>1.3028078923927617E-2</v>
      </c>
    </row>
    <row r="107" spans="1:7" x14ac:dyDescent="0.2">
      <c r="A107" s="3">
        <v>45678</v>
      </c>
      <c r="B107">
        <v>140.83000000000001</v>
      </c>
      <c r="C107">
        <v>230.71</v>
      </c>
      <c r="D107" s="4">
        <v>158.24</v>
      </c>
      <c r="E107" s="5">
        <f t="shared" si="2"/>
        <v>2.2403464470924412E-2</v>
      </c>
      <c r="F107" s="5">
        <f t="shared" si="3"/>
        <v>2.0892033278734474E-2</v>
      </c>
      <c r="G107" s="5">
        <f t="shared" si="3"/>
        <v>-2.0206499019127622E-2</v>
      </c>
    </row>
    <row r="108" spans="1:7" x14ac:dyDescent="0.2">
      <c r="A108" s="3">
        <v>45679</v>
      </c>
      <c r="B108">
        <v>147.07</v>
      </c>
      <c r="C108">
        <v>235.01</v>
      </c>
      <c r="D108" s="4">
        <v>156.41</v>
      </c>
      <c r="E108" s="5">
        <f t="shared" si="2"/>
        <v>4.3355174702263348E-2</v>
      </c>
      <c r="F108" s="5">
        <f t="shared" si="3"/>
        <v>1.8466555852769646E-2</v>
      </c>
      <c r="G108" s="5">
        <f t="shared" si="3"/>
        <v>-1.1632103188251895E-2</v>
      </c>
    </row>
    <row r="109" spans="1:7" x14ac:dyDescent="0.2">
      <c r="A109" s="3">
        <v>45680</v>
      </c>
      <c r="B109">
        <v>147.22</v>
      </c>
      <c r="C109">
        <v>235.42</v>
      </c>
      <c r="D109" s="4">
        <v>156.01</v>
      </c>
      <c r="E109" s="5">
        <f t="shared" si="2"/>
        <v>1.0194027183375537E-3</v>
      </c>
      <c r="F109" s="5">
        <f t="shared" si="3"/>
        <v>1.7430865540477031E-3</v>
      </c>
      <c r="G109" s="5">
        <f t="shared" si="3"/>
        <v>-2.5606569269921767E-3</v>
      </c>
    </row>
    <row r="110" spans="1:7" x14ac:dyDescent="0.2">
      <c r="A110" s="3">
        <v>45681</v>
      </c>
      <c r="B110">
        <v>142.62</v>
      </c>
      <c r="C110">
        <v>234.85</v>
      </c>
      <c r="D110" s="4">
        <v>155.65</v>
      </c>
      <c r="E110" s="5">
        <f t="shared" si="2"/>
        <v>-3.1744316030402252E-2</v>
      </c>
      <c r="F110" s="5">
        <f t="shared" si="3"/>
        <v>-2.4241405113304931E-3</v>
      </c>
      <c r="G110" s="5">
        <f t="shared" si="3"/>
        <v>-2.3102108715407749E-3</v>
      </c>
    </row>
    <row r="111" spans="1:7" x14ac:dyDescent="0.2">
      <c r="A111" s="3">
        <v>45684</v>
      </c>
      <c r="B111">
        <v>118.42</v>
      </c>
      <c r="C111">
        <v>235.42</v>
      </c>
      <c r="D111" s="4">
        <v>157.22999999999999</v>
      </c>
      <c r="E111" s="5">
        <f t="shared" si="2"/>
        <v>-0.18594612349652748</v>
      </c>
      <c r="F111" s="5">
        <f t="shared" si="3"/>
        <v>2.4241405113305109E-3</v>
      </c>
      <c r="G111" s="5">
        <f t="shared" si="3"/>
        <v>1.0099804594567404E-2</v>
      </c>
    </row>
    <row r="112" spans="1:7" x14ac:dyDescent="0.2">
      <c r="A112" s="3">
        <v>45685</v>
      </c>
      <c r="B112">
        <v>128.99</v>
      </c>
      <c r="C112">
        <v>238.15</v>
      </c>
      <c r="D112" s="4">
        <v>156.21</v>
      </c>
      <c r="E112" s="5">
        <f t="shared" si="2"/>
        <v>8.5497254873414752E-2</v>
      </c>
      <c r="F112" s="5">
        <f t="shared" si="3"/>
        <v>1.15295742625348E-2</v>
      </c>
      <c r="G112" s="5">
        <f t="shared" si="3"/>
        <v>-6.5084456392670532E-3</v>
      </c>
    </row>
    <row r="113" spans="1:7" x14ac:dyDescent="0.2">
      <c r="A113" s="3">
        <v>45686</v>
      </c>
      <c r="B113">
        <v>123.7</v>
      </c>
      <c r="C113">
        <v>237.07</v>
      </c>
      <c r="D113" s="4">
        <v>155.69</v>
      </c>
      <c r="E113" s="5">
        <f t="shared" si="2"/>
        <v>-4.1875602578602553E-2</v>
      </c>
      <c r="F113" s="5">
        <f t="shared" si="3"/>
        <v>-4.5452710717284062E-3</v>
      </c>
      <c r="G113" s="5">
        <f t="shared" si="3"/>
        <v>-3.3344051413343352E-3</v>
      </c>
    </row>
    <row r="114" spans="1:7" x14ac:dyDescent="0.2">
      <c r="A114" s="3">
        <v>45687</v>
      </c>
      <c r="B114">
        <v>124.65</v>
      </c>
      <c r="C114">
        <v>234.64</v>
      </c>
      <c r="D114" s="4">
        <v>156.32</v>
      </c>
      <c r="E114" s="5">
        <f t="shared" si="2"/>
        <v>7.6505305711246667E-3</v>
      </c>
      <c r="F114" s="5">
        <f t="shared" si="3"/>
        <v>-1.0303031505945406E-2</v>
      </c>
      <c r="G114" s="5">
        <f t="shared" si="3"/>
        <v>4.0383375928895078E-3</v>
      </c>
    </row>
    <row r="115" spans="1:7" x14ac:dyDescent="0.2">
      <c r="A115" s="3">
        <v>45688</v>
      </c>
      <c r="B115">
        <v>120.07</v>
      </c>
      <c r="C115">
        <v>237.68</v>
      </c>
      <c r="D115" s="4">
        <v>149.19</v>
      </c>
      <c r="E115" s="5">
        <f t="shared" si="2"/>
        <v>-3.743490392694037E-2</v>
      </c>
      <c r="F115" s="5">
        <f t="shared" si="3"/>
        <v>1.2872806485156745E-2</v>
      </c>
      <c r="G115" s="5">
        <f t="shared" si="3"/>
        <v>-4.668452689971575E-2</v>
      </c>
    </row>
    <row r="116" spans="1:7" x14ac:dyDescent="0.2">
      <c r="A116" s="3">
        <v>45691</v>
      </c>
      <c r="B116">
        <v>116.66</v>
      </c>
      <c r="C116">
        <v>237.42</v>
      </c>
      <c r="D116" s="4">
        <v>149.34</v>
      </c>
      <c r="E116" s="5">
        <f t="shared" si="2"/>
        <v>-2.8811184717135074E-2</v>
      </c>
      <c r="F116" s="5">
        <f t="shared" si="3"/>
        <v>-1.0945065289643418E-3</v>
      </c>
      <c r="G116" s="5">
        <f t="shared" si="3"/>
        <v>1.0049242127988863E-3</v>
      </c>
    </row>
    <row r="117" spans="1:7" x14ac:dyDescent="0.2">
      <c r="A117" s="3">
        <v>45692</v>
      </c>
      <c r="B117">
        <v>118.65</v>
      </c>
      <c r="C117">
        <v>242.06</v>
      </c>
      <c r="D117" s="4">
        <v>153.22</v>
      </c>
      <c r="E117" s="5">
        <f t="shared" si="2"/>
        <v>1.6914261556281014E-2</v>
      </c>
      <c r="F117" s="5">
        <f t="shared" si="3"/>
        <v>1.935490468506991E-2</v>
      </c>
      <c r="G117" s="5">
        <f t="shared" si="3"/>
        <v>2.5649211481119219E-2</v>
      </c>
    </row>
    <row r="118" spans="1:7" x14ac:dyDescent="0.2">
      <c r="A118" s="3">
        <v>45693</v>
      </c>
      <c r="B118">
        <v>124.83</v>
      </c>
      <c r="C118">
        <v>236.17</v>
      </c>
      <c r="D118" s="4">
        <v>152.99</v>
      </c>
      <c r="E118" s="5">
        <f t="shared" si="2"/>
        <v>5.0774828781187074E-2</v>
      </c>
      <c r="F118" s="5">
        <f t="shared" si="3"/>
        <v>-2.4633744621397651E-2</v>
      </c>
      <c r="G118" s="5">
        <f t="shared" si="3"/>
        <v>-1.5022373093871678E-3</v>
      </c>
    </row>
    <row r="119" spans="1:7" x14ac:dyDescent="0.2">
      <c r="A119" s="3">
        <v>45694</v>
      </c>
      <c r="B119">
        <v>128.68</v>
      </c>
      <c r="C119">
        <v>238.83</v>
      </c>
      <c r="D119" s="4">
        <v>151.9</v>
      </c>
      <c r="E119" s="5">
        <f t="shared" si="2"/>
        <v>3.0375890707866154E-2</v>
      </c>
      <c r="F119" s="5">
        <f t="shared" si="3"/>
        <v>1.1200117079536328E-2</v>
      </c>
      <c r="G119" s="5">
        <f t="shared" si="3"/>
        <v>-7.1501501775604517E-3</v>
      </c>
    </row>
    <row r="120" spans="1:7" x14ac:dyDescent="0.2">
      <c r="A120" s="3">
        <v>45695</v>
      </c>
      <c r="B120">
        <v>129.84</v>
      </c>
      <c r="C120">
        <v>229.15</v>
      </c>
      <c r="D120" s="4">
        <v>152.62</v>
      </c>
      <c r="E120" s="5">
        <f t="shared" si="2"/>
        <v>8.974220835510088E-3</v>
      </c>
      <c r="F120" s="5">
        <f t="shared" si="3"/>
        <v>-4.137519081346349E-2</v>
      </c>
      <c r="G120" s="5">
        <f t="shared" si="3"/>
        <v>4.728762259759889E-3</v>
      </c>
    </row>
    <row r="121" spans="1:7" x14ac:dyDescent="0.2">
      <c r="A121" s="3">
        <v>45698</v>
      </c>
      <c r="B121">
        <v>133.57</v>
      </c>
      <c r="C121">
        <v>233.14</v>
      </c>
      <c r="D121" s="4">
        <v>155.77000000000001</v>
      </c>
      <c r="E121" s="5">
        <f t="shared" si="2"/>
        <v>2.8322761782678136E-2</v>
      </c>
      <c r="F121" s="5">
        <f t="shared" si="3"/>
        <v>1.7262320536553234E-2</v>
      </c>
      <c r="G121" s="5">
        <f t="shared" si="3"/>
        <v>2.0429388477027438E-2</v>
      </c>
    </row>
    <row r="122" spans="1:7" x14ac:dyDescent="0.2">
      <c r="A122" s="3">
        <v>45699</v>
      </c>
      <c r="B122">
        <v>132.80000000000001</v>
      </c>
      <c r="C122">
        <v>232.76</v>
      </c>
      <c r="D122" s="4">
        <v>157.44</v>
      </c>
      <c r="E122" s="5">
        <f t="shared" si="2"/>
        <v>-5.7814479466803586E-3</v>
      </c>
      <c r="F122" s="5">
        <f t="shared" si="3"/>
        <v>-1.631251703217151E-3</v>
      </c>
      <c r="G122" s="5">
        <f t="shared" si="3"/>
        <v>1.0663872965428704E-2</v>
      </c>
    </row>
    <row r="123" spans="1:7" x14ac:dyDescent="0.2">
      <c r="A123" s="3">
        <v>45700</v>
      </c>
      <c r="B123">
        <v>131.13999999999999</v>
      </c>
      <c r="C123">
        <v>228.93</v>
      </c>
      <c r="D123" s="4">
        <v>154.9</v>
      </c>
      <c r="E123" s="5">
        <f t="shared" si="2"/>
        <v>-1.2578782206860298E-2</v>
      </c>
      <c r="F123" s="5">
        <f t="shared" si="3"/>
        <v>-1.6591599818817578E-2</v>
      </c>
      <c r="G123" s="5">
        <f t="shared" si="3"/>
        <v>-1.6264685881120327E-2</v>
      </c>
    </row>
    <row r="124" spans="1:7" x14ac:dyDescent="0.2">
      <c r="A124" s="3">
        <v>45701</v>
      </c>
      <c r="B124">
        <v>135.29</v>
      </c>
      <c r="C124">
        <v>230.37</v>
      </c>
      <c r="D124" s="4">
        <v>155.88</v>
      </c>
      <c r="E124" s="5">
        <f t="shared" si="2"/>
        <v>3.1155167779795479E-2</v>
      </c>
      <c r="F124" s="5">
        <f t="shared" si="3"/>
        <v>6.2704320409103717E-3</v>
      </c>
      <c r="G124" s="5">
        <f t="shared" si="3"/>
        <v>6.3067330476854642E-3</v>
      </c>
    </row>
    <row r="125" spans="1:7" x14ac:dyDescent="0.2">
      <c r="A125" s="3">
        <v>45702</v>
      </c>
      <c r="B125">
        <v>138.85</v>
      </c>
      <c r="C125">
        <v>228.68</v>
      </c>
      <c r="D125" s="4">
        <v>155.34</v>
      </c>
      <c r="E125" s="5">
        <f t="shared" si="2"/>
        <v>2.5973591137539755E-2</v>
      </c>
      <c r="F125" s="5">
        <f t="shared" si="3"/>
        <v>-7.3630656147912936E-3</v>
      </c>
      <c r="G125" s="5">
        <f t="shared" si="3"/>
        <v>-3.4702174790071059E-3</v>
      </c>
    </row>
    <row r="126" spans="1:7" x14ac:dyDescent="0.2">
      <c r="A126" s="3">
        <v>45706</v>
      </c>
      <c r="B126">
        <v>139.4</v>
      </c>
      <c r="C126">
        <v>226.65</v>
      </c>
      <c r="D126" s="4">
        <v>156.16</v>
      </c>
      <c r="E126" s="5">
        <f t="shared" si="2"/>
        <v>3.953284573615142E-3</v>
      </c>
      <c r="F126" s="5">
        <f t="shared" si="3"/>
        <v>-8.9166690089123157E-3</v>
      </c>
      <c r="G126" s="5">
        <f t="shared" si="3"/>
        <v>5.2648596732809789E-3</v>
      </c>
    </row>
    <row r="127" spans="1:7" x14ac:dyDescent="0.2">
      <c r="A127" s="3">
        <v>45707</v>
      </c>
      <c r="B127">
        <v>139.22999999999999</v>
      </c>
      <c r="C127">
        <v>226.63</v>
      </c>
      <c r="D127" s="4">
        <v>157.22999999999999</v>
      </c>
      <c r="E127" s="5">
        <f t="shared" si="2"/>
        <v>-1.2202564052294857E-3</v>
      </c>
      <c r="F127" s="5">
        <f t="shared" si="3"/>
        <v>-8.824567601914891E-5</v>
      </c>
      <c r="G127" s="5">
        <f t="shared" si="3"/>
        <v>6.8285788174022562E-3</v>
      </c>
    </row>
    <row r="128" spans="1:7" x14ac:dyDescent="0.2">
      <c r="A128" s="3">
        <v>45708</v>
      </c>
      <c r="B128">
        <v>140.11000000000001</v>
      </c>
      <c r="C128">
        <v>222.88</v>
      </c>
      <c r="D128" s="4">
        <v>158.79</v>
      </c>
      <c r="E128" s="5">
        <f t="shared" si="2"/>
        <v>6.3005864619461423E-3</v>
      </c>
      <c r="F128" s="5">
        <f t="shared" si="3"/>
        <v>-1.6685221679343602E-2</v>
      </c>
      <c r="G128" s="5">
        <f t="shared" si="3"/>
        <v>9.8728730558212494E-3</v>
      </c>
    </row>
    <row r="129" spans="1:7" x14ac:dyDescent="0.2">
      <c r="A129" s="3">
        <v>45709</v>
      </c>
      <c r="B129">
        <v>134.43</v>
      </c>
      <c r="C129">
        <v>216.58</v>
      </c>
      <c r="D129" s="4">
        <v>156.91999999999999</v>
      </c>
      <c r="E129" s="5">
        <f t="shared" si="2"/>
        <v>-4.1384210916978727E-2</v>
      </c>
      <c r="F129" s="5">
        <f t="shared" si="3"/>
        <v>-2.8673515831262143E-2</v>
      </c>
      <c r="G129" s="5">
        <f t="shared" si="3"/>
        <v>-1.1846453196654078E-2</v>
      </c>
    </row>
    <row r="130" spans="1:7" x14ac:dyDescent="0.2">
      <c r="G130" s="5"/>
    </row>
  </sheetData>
  <sortState xmlns:xlrd2="http://schemas.microsoft.com/office/spreadsheetml/2017/richdata2" ref="R25:U25">
    <sortCondition ref="R25"/>
  </sortState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7be8240-149b-427d-8eba-7bb1ff6225dd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603EFC6982A3E49B93B844C7FCD583B" ma:contentTypeVersion="9" ma:contentTypeDescription="Create a new document." ma:contentTypeScope="" ma:versionID="3140931649ef91275992487ae884dda5">
  <xsd:schema xmlns:xsd="http://www.w3.org/2001/XMLSchema" xmlns:xs="http://www.w3.org/2001/XMLSchema" xmlns:p="http://schemas.microsoft.com/office/2006/metadata/properties" xmlns:ns3="b7be8240-149b-427d-8eba-7bb1ff6225dd" xmlns:ns4="869da506-bace-44af-a899-86cec871751e" targetNamespace="http://schemas.microsoft.com/office/2006/metadata/properties" ma:root="true" ma:fieldsID="1605aa29f50c5c5eae7cffec129fa756" ns3:_="" ns4:_="">
    <xsd:import namespace="b7be8240-149b-427d-8eba-7bb1ff6225dd"/>
    <xsd:import namespace="869da506-bace-44af-a899-86cec871751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earchPropertie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7be8240-149b-427d-8eba-7bb1ff6225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9da506-bace-44af-a899-86cec871751e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301A22A-14C0-44A8-A71C-854AD345A32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FD6B530-1BEE-4A33-ADE8-A374E843ADF5}">
  <ds:schemaRefs>
    <ds:schemaRef ds:uri="http://purl.org/dc/terms/"/>
    <ds:schemaRef ds:uri="http://schemas.microsoft.com/office/2006/documentManagement/types"/>
    <ds:schemaRef ds:uri="http://purl.org/dc/elements/1.1/"/>
    <ds:schemaRef ds:uri="http://www.w3.org/XML/1998/namespace"/>
    <ds:schemaRef ds:uri="http://purl.org/dc/dcmitype/"/>
    <ds:schemaRef ds:uri="http://schemas.microsoft.com/office/2006/metadata/properties"/>
    <ds:schemaRef ds:uri="869da506-bace-44af-a899-86cec871751e"/>
    <ds:schemaRef ds:uri="http://schemas.microsoft.com/office/infopath/2007/PartnerControls"/>
    <ds:schemaRef ds:uri="http://schemas.openxmlformats.org/package/2006/metadata/core-properties"/>
    <ds:schemaRef ds:uri="b7be8240-149b-427d-8eba-7bb1ff6225dd"/>
  </ds:schemaRefs>
</ds:datastoreItem>
</file>

<file path=customXml/itemProps3.xml><?xml version="1.0" encoding="utf-8"?>
<ds:datastoreItem xmlns:ds="http://schemas.openxmlformats.org/officeDocument/2006/customXml" ds:itemID="{AC2D1D0B-9F1B-4F71-9DD6-0BBFAEF44F8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7be8240-149b-427d-8eba-7bb1ff6225dd"/>
    <ds:schemaRef ds:uri="869da506-bace-44af-a899-86cec871751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Shakira Porco</dc:creator>
  <cp:lastModifiedBy>Shakira Porco</cp:lastModifiedBy>
  <dcterms:created xsi:type="dcterms:W3CDTF">2025-03-07T12:02:49Z</dcterms:created>
  <dcterms:modified xsi:type="dcterms:W3CDTF">2025-03-11T20:03:07Z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0x010100B603EFC6982A3E49B93B844C7FCD583B</vt:lpwstr>
  </property>
</Properties>
</file>